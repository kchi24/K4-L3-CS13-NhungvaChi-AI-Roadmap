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1_Danh sách việc" sheetId="3" state="visible" r:id="rId3"/>
    <sheet xmlns:r="http://schemas.openxmlformats.org/officeDocument/2006/relationships" name="2_Mức tự động" sheetId="4" state="visible" r:id="rId4"/>
    <sheet xmlns:r="http://schemas.openxmlformats.org/officeDocument/2006/relationships" name="3_Bảng lộ trình" sheetId="5" state="visible" r:id="rId5"/>
    <sheet xmlns:r="http://schemas.openxmlformats.org/officeDocument/2006/relationships" name="4_Rà soát" sheetId="6" state="visible" r:id="rId6"/>
    <sheet xmlns:r="http://schemas.openxmlformats.org/officeDocument/2006/relationships" name="5_Slide lãnh đạo" sheetId="7" state="visible" r:id="rId7"/>
    <sheet xmlns:r="http://schemas.openxmlformats.org/officeDocument/2006/relationships" name="6_Tự kiểm tra" sheetId="8" state="visible" r:id="rId8"/>
    <sheet xmlns:r="http://schemas.openxmlformats.org/officeDocument/2006/relationships" name="7_Thang điểm"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RED]\-#,##0"/>
    <numFmt numFmtId="165" formatCode="0.0"/>
  </numFmts>
  <fonts count="11">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color rgb="FFFFFFFF"/>
      <sz val="11"/>
    </font>
    <font>
      <name val="Cambria"/>
      <charset val="1"/>
      <family val="0"/>
      <b val="1"/>
      <sz val="11"/>
    </font>
    <font>
      <name val="Calibri"/>
      <charset val="1"/>
      <family val="0"/>
      <sz val="11"/>
    </font>
    <font>
      <name val="Calibri"/>
      <charset val="1"/>
      <family val="0"/>
      <i val="1"/>
      <color rgb="FF595959"/>
      <sz val="10"/>
    </font>
    <font>
      <name val="Cambria"/>
      <charset val="1"/>
      <family val="0"/>
      <b val="1"/>
      <sz val="12"/>
    </font>
  </fonts>
  <fills count="5">
    <fill>
      <patternFill/>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32" min="1" max="1"/>
  </cols>
  <sheetData>
    <row r="1" ht="17.25" customHeight="1" s="33">
      <c r="A1" s="34" t="inlineStr">
        <is>
          <t>CS13 · Lộ trình sản phẩm AI — File thực hành · Đề 1 · SổSạch</t>
        </is>
      </c>
    </row>
    <row r="2" ht="15" customHeight="1" s="33">
      <c r="A2" s="35" t="inlineStr">
        <is>
          <t>AI in Action · Track 1 · Khóa 4. FILE LÀM BÀI CỦA NHÓM · Đề 1 · SổSạch. Dữ liệu của đề nằm trong file CS13_HoSoTinhHuong.pdf; file CS13_Roadmap_Mau.xlsx là bản mẫu đã điền (một sản phẩm khác) để xem cách điền.</t>
        </is>
      </c>
    </row>
    <row r="4" ht="15" customHeight="1" s="33">
      <c r="A4" s="32" t="inlineStr">
        <is>
          <t>Luật chơi: CHỈ điền vào ô màu VÀNG. Ô màu XANH là công thức và đã được khóa. Bắt đầu bằng trang 0_Đầu vào (Nhiệm vụ 0: đọc hồ sơ tình huống).</t>
        </is>
      </c>
    </row>
    <row r="5" ht="15" customHeight="1" s="33">
      <c r="A5" s="32" t="inlineStr">
        <is>
          <t>Thứ tự làm: 0 Đọc hồ sơ → 1 Danh sách việc → 2 Mức tự động → 3 Bảng lộ trình → 4 Rà soát → 6 Tự kiểm tra. Trang 5 (slide lãnh đạo) làm ở nhà.</t>
        </is>
      </c>
    </row>
    <row r="6" ht="15" customHeight="1" s="33">
      <c r="A6" s="32" t="inlineStr">
        <is>
          <t>Số liệu kinh tế của đề đã điền sẵn ở trang 2, dòng 12–20. Không cần file của buổi nào khác: mọi dữ liệu cần dùng nằm trong hồ sơ tình huống, Đề 1.</t>
        </is>
      </c>
    </row>
    <row r="7" ht="15" customHeight="1" s="33">
      <c r="A7" s="32" t="inlineStr">
        <is>
          <t>Lộ trình theo GIẢ THUYẾT: mỗi hạng mục phải trả lời 'Ta tin rằng làm X sẽ giúp Y đạt Z; biết đúng khi chỉ số W đạt ngưỡng V'.</t>
        </is>
      </c>
    </row>
    <row r="8" ht="15" customHeight="1" s="33">
      <c r="A8" s="32" t="inlineStr">
        <is>
          <t>Tên file nộp: [Nhom]_CS13.xlsx · Nộp bản có Nhiệm vụ 1–4 lên VLearn trước 18:00 ngày 16/10. Trang 5 (Nhiệm vụ 5, làm ở nhà) nộp trước 23:59 ngày 19/10.</t>
        </is>
      </c>
    </row>
    <row r="9" ht="15" customHeight="1" s="33">
      <c r="A9" s="32" t="inlineStr">
        <is>
          <t>Tuân thủ: Luật Trí tuệ nhân tạo số 134/2025/QH15 (hiệu lực 01/3/2026) chia hệ thống AI thành 3 mức rủi ro và yêu cầu người dùng được thông tin khi tương tác với AI. Đọc văn bản gốc trước khi ghi vào bài.</t>
        </is>
      </c>
    </row>
    <row r="11" ht="15" customHeight="1" s="33">
      <c r="A11" s="32" t="inlineStr">
        <is>
          <t>Chú thích màu:</t>
        </is>
      </c>
    </row>
    <row r="12" ht="15" customHeight="1" s="33">
      <c r="A12" s="36" t="inlineStr">
        <is>
          <t>Ô điền giả định (không khóa)</t>
        </is>
      </c>
    </row>
    <row r="13" ht="15" customHeight="1" s="33">
      <c r="A13" s="37" t="inlineStr">
        <is>
          <t>Ô công thức (tự tính, đã khóa)</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32" min="1" max="1"/>
    <col width="14" customWidth="1" style="32" min="2" max="2"/>
    <col width="46" customWidth="1" style="32" min="3" max="4"/>
    <col width="36" customWidth="1" style="32" min="5" max="5"/>
  </cols>
  <sheetData>
    <row r="1" ht="17.25" customHeight="1" s="33">
      <c r="A1" s="34" t="inlineStr">
        <is>
          <t>0 · Nhiệm vụ 0: đọc hồ sơ tình huống, Đề 1 (5 phút)</t>
        </is>
      </c>
    </row>
    <row r="2" ht="15" customHeight="1" s="33">
      <c r="A2" s="35" t="inlineStr">
        <is>
          <t>Cả nhóm đọc cùng một hồ sơ trước khi điền. Nhiệm vụ 0 không tính điểm; đánh dấu "Có" khi cả nhóm đã đọc mục đó.</t>
        </is>
      </c>
    </row>
    <row r="4" ht="26.25" customHeight="1" s="33">
      <c r="A4" s="38" t="inlineStr">
        <is>
          <t>Mục trong hồ sơ tình huống</t>
        </is>
      </c>
      <c r="B4" s="38" t="inlineStr">
        <is>
          <t>Nhóm đã đọc chưa?</t>
        </is>
      </c>
      <c r="C4" s="38" t="inlineStr">
        <is>
          <t>Dùng ở đâu trong file</t>
        </is>
      </c>
      <c r="D4" s="38" t="inlineStr">
        <is>
          <t>Lưu ý</t>
        </is>
      </c>
      <c r="E4" s="38" t="inlineStr">
        <is>
          <t>Ghi chú của nhóm</t>
        </is>
      </c>
    </row>
    <row r="5" ht="33.75" customHeight="1" s="33">
      <c r="A5" s="39" t="inlineStr">
        <is>
          <t>Số liệu kinh tế của đề (9 dòng)</t>
        </is>
      </c>
      <c r="B5" s="40" t="inlineStr">
        <is>
          <t>Có</t>
        </is>
      </c>
      <c r="C5" s="39" t="inlineStr">
        <is>
          <t>Đã điền sẵn ở trang 2, dòng 12–20: chi phí mỗi việc, biên lợi nhuận, điều kiện dừng</t>
        </is>
      </c>
      <c r="D5" s="39" t="inlineStr">
        <is>
          <t>Đọc để hiểu; không cần chép</t>
        </is>
      </c>
      <c r="E5" s="40" t="inlineStr">
        <is>
          <t>Đã nắm 9 dòng kinh tế: chi phí AI 254đ, người duyệt 50k/h, doanh thu 3.97tr, dừng ở 3.71tr</t>
        </is>
      </c>
    </row>
    <row r="6" ht="33.75" customHeight="1" s="33">
      <c r="A6" s="39" t="inlineStr">
        <is>
          <t>Bối cảnh, sản phẩm, "1 việc" là gì</t>
        </is>
      </c>
      <c r="B6" s="40" t="inlineStr">
        <is>
          <t>Có</t>
        </is>
      </c>
      <c r="C6" s="39" t="inlineStr">
        <is>
          <t>Giả thuyết và chỉ số ở trang 1</t>
        </is>
      </c>
      <c r="D6" s="39" t="inlineStr">
        <is>
          <t>Viết giả thuyết theo đúng "1 việc" của đề</t>
        </is>
      </c>
      <c r="E6" s="40" t="inlineStr">
        <is>
          <t>1 việc = 1 hoá đơn được đọc, đối chiếu và nhập vào phần mềm kế toán</t>
        </is>
      </c>
    </row>
    <row r="7" ht="33.75" customHeight="1" s="33">
      <c r="A7" s="39" t="inlineStr">
        <is>
          <t>6 việc gợi ý</t>
        </is>
      </c>
      <c r="B7" s="40" t="inlineStr">
        <is>
          <t>Có</t>
        </is>
      </c>
      <c r="C7" s="39" t="inlineStr">
        <is>
          <t>Trang 1, cột B–C; nhóm được thêm việc của mình</t>
        </is>
      </c>
      <c r="D7" s="39" t="inlineStr">
        <is>
          <t>Giữ, bỏ hay đổi thứ tự đều phải ghi lý do ở cột Q</t>
        </is>
      </c>
      <c r="E7" s="40" t="inlineStr">
        <is>
          <t>Giữ 5 việc cốt lõi, loại việc tư vấn thuế bị nuốt, thêm việc giữ chân khách hàng lớn</t>
        </is>
      </c>
    </row>
    <row r="8" ht="33.75" customHeight="1" s="33">
      <c r="A8" s="39" t="inlineStr">
        <is>
          <t>Kết quả đánh giá đã có (bộ đề, cổng phát hành)</t>
        </is>
      </c>
      <c r="B8" s="40" t="inlineStr">
        <is>
          <t>Có</t>
        </is>
      </c>
      <c r="C8" s="39" t="inlineStr">
        <is>
          <t>Cổng đánh giá ở trang 2; việc cần làm trước ở trang 3</t>
        </is>
      </c>
      <c r="D8" s="39" t="inlineStr">
        <is>
          <t>Đề 2, 3: kết luận chưa phải "Phát hành" → có việc phải làm trước</t>
        </is>
      </c>
      <c r="E8" s="40" t="inlineStr">
        <is>
          <t>Bản 2 đã phát hành, 0 lỗi nghiêm trọng, tuần đầu chị Hạnh kiểm 1% hoá đơn thật</t>
        </is>
      </c>
    </row>
    <row r="9" ht="33.75" customHeight="1" s="33">
      <c r="A9" s="39" t="inlineStr">
        <is>
          <t>Chuyên gia và số giờ của họ</t>
        </is>
      </c>
      <c r="B9" s="40" t="inlineStr">
        <is>
          <t>Có</t>
        </is>
      </c>
      <c r="C9" s="39" t="inlineStr">
        <is>
          <t>Dòng "Điều kiện cần" ở trang 3; ô "Cần gì" ở trang 5</t>
        </is>
      </c>
      <c r="D9" s="39" t="inlineStr">
        <is>
          <t>Dẫn đúng số giờ trong hồ sơ</t>
        </is>
      </c>
      <c r="E9" s="40" t="inlineStr">
        <is>
          <t>Chị Hạnh 3 giờ sáng thứ Bảy (kế toán trưởng 15 năm); anh Tùng trưởng nhóm nhập liệu</t>
        </is>
      </c>
    </row>
    <row r="10" ht="33.75" customHeight="1" s="33">
      <c r="A10" s="39" t="inlineStr">
        <is>
          <t>Gợi ý về người duyệt và mức tự động</t>
        </is>
      </c>
      <c r="B10" s="40" t="inlineStr">
        <is>
          <t>Có</t>
        </is>
      </c>
      <c r="C10" s="39" t="inlineStr">
        <is>
          <t>Trang 2, cột H và I</t>
        </is>
      </c>
      <c r="D10" s="39" t="inlineStr">
        <is>
          <t>Đề 3: bác sĩ của bệnh viện không tính vào chi phí</t>
        </is>
      </c>
      <c r="E10" s="40" t="inlineStr">
        <is>
          <t>Người duyệt là kế toán viên công ty; Mức 1 duyệt 20%, Mức 2 duyệt 10%</t>
        </is>
      </c>
    </row>
    <row r="12" ht="15" customHeight="1" s="33">
      <c r="A12" s="41" t="inlineStr">
        <is>
          <t>Số mục nhóm đã đọc</t>
        </is>
      </c>
      <c r="B12" s="37">
        <f>COUNTIF(B5:B10,"Có")</f>
        <v/>
      </c>
    </row>
    <row r="13" ht="15" customHeight="1" s="33">
      <c r="A13" s="35" t="inlineStr">
        <is>
          <t>Đủ 6/6 thì sang Nhiệm vụ 1.</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32" min="1" max="1"/>
    <col width="30" customWidth="1" style="32" min="2" max="2"/>
    <col width="28" customWidth="1" style="32" min="3" max="3"/>
    <col width="38" customWidth="1" style="32" min="4" max="4"/>
    <col width="32" customWidth="1" style="32" min="5" max="5"/>
    <col width="8" customWidth="1" style="32" min="6" max="7"/>
    <col width="11" customWidth="1" style="32" min="8" max="8"/>
    <col width="8" customWidth="1" style="32" min="9" max="9"/>
    <col width="11" customWidth="1" style="32" min="10" max="10"/>
    <col width="10" customWidth="1" style="32" min="11" max="11"/>
    <col width="13" customWidth="1" style="32" min="12" max="12"/>
    <col width="10" customWidth="1" style="32" min="13" max="14"/>
    <col width="12" customWidth="1" style="32" min="15" max="15"/>
    <col width="14" customWidth="1" style="32" min="16" max="16"/>
    <col width="58" customWidth="1" style="32" min="17" max="17"/>
  </cols>
  <sheetData>
    <row r="1" ht="17.25" customHeight="1" s="33">
      <c r="A1" s="34" t="inlineStr">
        <is>
          <t>1 · Danh sách việc và chấm điểm ưu tiên</t>
        </is>
      </c>
    </row>
    <row r="2" ht="15" customHeight="1" s="33">
      <c r="A2" s="35" t="inlineStr">
        <is>
          <t>Điểm = Độ phủ × Tác động × Mức tự tin ÷ Công sức × (0,5 + 0,5 × sẵn sàng trung bình của dữ liệu và đánh giá) × (1 − 0,5 × rủi ro bị 'nuốt')</t>
        </is>
      </c>
    </row>
    <row r="4" ht="39" customHeight="1" s="33">
      <c r="A4" s="42" t="inlineStr">
        <is>
          <t>STT</t>
        </is>
      </c>
      <c r="B4" s="42" t="inlineStr">
        <is>
          <t>Việc</t>
        </is>
      </c>
      <c r="C4" s="42" t="inlineStr">
        <is>
          <t>Kết quả muốn đạt</t>
        </is>
      </c>
      <c r="D4" s="42" t="inlineStr">
        <is>
          <t>Giả thuyết (Ta tin rằng…)</t>
        </is>
      </c>
      <c r="E4" s="42" t="inlineStr">
        <is>
          <t>Chỉ số thành công và ngưỡng</t>
        </is>
      </c>
      <c r="F4" s="42" t="inlineStr">
        <is>
          <t>Độ phủ 1–5</t>
        </is>
      </c>
      <c r="G4" s="42" t="inlineStr">
        <is>
          <t>Tác động 1–5</t>
        </is>
      </c>
      <c r="H4" s="42" t="inlineStr">
        <is>
          <t>Mức tự tin 0,5 / 0,8 / 1</t>
        </is>
      </c>
      <c r="I4" s="42" t="inlineStr">
        <is>
          <t>Công sức 1–5</t>
        </is>
      </c>
      <c r="J4" s="42" t="inlineStr">
        <is>
          <t>Sẵn sàng dữ liệu 0–1</t>
        </is>
      </c>
      <c r="K4" s="42" t="inlineStr">
        <is>
          <t>Sẵn sàng đánh giá 0–1</t>
        </is>
      </c>
      <c r="L4" s="42" t="inlineStr">
        <is>
          <t>Rủi ro bị nuốt 0–1</t>
        </is>
      </c>
      <c r="M4" s="42" t="inlineStr">
        <is>
          <t>ĐIỂM</t>
        </is>
      </c>
      <c r="N4" s="42" t="inlineStr">
        <is>
          <t>Xếp hạng</t>
        </is>
      </c>
      <c r="O4" s="42" t="inlineStr">
        <is>
          <t>Chỉ số có con số?</t>
        </is>
      </c>
      <c r="P4" s="42" t="inlineStr">
        <is>
          <t>Tự làm / Mua / Chờ / Không làm</t>
        </is>
      </c>
      <c r="Q4" s="42" t="inlineStr">
        <is>
          <t>Lý do (đổi thứ tự, chọn mua hay chờ…)</t>
        </is>
      </c>
    </row>
    <row r="5" ht="34.5" customHeight="1" s="33">
      <c r="A5" s="43" t="n">
        <v>1</v>
      </c>
      <c r="B5" s="40" t="inlineStr">
        <is>
          <t>Nhập tự động hoá đơn điện tử (tệp gốc XML/PDF)</t>
        </is>
      </c>
      <c r="C5" s="40" t="inlineStr">
        <is>
          <t>Giảm 70% thời gian nhập hoá đơn điện tử</t>
        </is>
      </c>
      <c r="D5" s="40" t="inlineStr">
        <is>
          <t>Ta tin rằng trích xuất tệp gốc và đồng bộ trực tiếp vào phần mềm kế toán sẽ giúp kế toán giảm 70% thời gian nhập liệu</t>
        </is>
      </c>
      <c r="E5" s="40" t="inlineStr">
        <is>
          <t>Thời gian nhập 1 hoá đơn giảm ≥ 70%; độ chính xác trường dữ liệu ≥ 99%</t>
        </is>
      </c>
      <c r="F5" s="40" t="n">
        <v>5</v>
      </c>
      <c r="G5" s="40" t="n">
        <v>4</v>
      </c>
      <c r="H5" s="40" t="n">
        <v>1</v>
      </c>
      <c r="I5" s="40" t="n">
        <v>1</v>
      </c>
      <c r="J5" s="40" t="n">
        <v>0.9</v>
      </c>
      <c r="K5" s="40" t="n">
        <v>0.8</v>
      </c>
      <c r="L5" s="40" t="n">
        <v>0.3</v>
      </c>
      <c r="M5" s="44">
        <f>IF(COUNT(F5:L5)&lt;7,"",ROUND(F5*G5*H5/I5*(0.5+0.5*AVERAGE(J5:K5))*(1-0.5*L5),2))</f>
        <v/>
      </c>
      <c r="N5" s="44">
        <f>IF(M5="","",RANK(M5,$M$5:$M$14))</f>
        <v/>
      </c>
      <c r="O5" s="45">
        <f>IF(B5="","",IF(OR(D5="",E5=""),"Thiếu",IF(SUMPRODUCT(--ISNUMBER(SEARCH({"0","1","2","3","4","5","6","7","8","9"},E5)))&gt;0,"Có","Thiếu")))</f>
        <v/>
      </c>
      <c r="P5" s="46" t="inlineStr">
        <is>
          <t>Tự làm</t>
        </is>
      </c>
      <c r="Q5" s="46" t="inlineStr">
        <is>
          <t>Hạng cao: công cụ đã có sẵn tính năng nhập từ tệp gốc, tích hợp nhanh, công sức thấp</t>
        </is>
      </c>
    </row>
    <row r="6" ht="23.25" customHeight="1" s="33">
      <c r="A6" s="43" t="n">
        <v>2</v>
      </c>
      <c r="B6" s="40" t="inlineStr">
        <is>
          <t>Đối chiếu mã số thuế người bán qua API</t>
        </is>
      </c>
      <c r="C6" s="40" t="inlineStr">
        <is>
          <t>Không nhập nhầm người bán</t>
        </is>
      </c>
      <c r="D6" s="40" t="inlineStr">
        <is>
          <t>Ta tin rằng tự động tra cứu mã số thuế qua cổng Tổng cục Thuế sẽ ngăn ngừa 100% rủi ro nhập nhầm doanh nghiệp ngừng hoạt động</t>
        </is>
      </c>
      <c r="E6" s="40" t="inlineStr">
        <is>
          <t>Tỷ lệ đối chiếu đúng mã số thuế = 100%; thời gian tra cứu ≤ 2 giây/hoá đơn</t>
        </is>
      </c>
      <c r="F6" s="40" t="n">
        <v>5</v>
      </c>
      <c r="G6" s="40" t="n">
        <v>4</v>
      </c>
      <c r="H6" s="40" t="n">
        <v>1</v>
      </c>
      <c r="I6" s="40" t="n">
        <v>1</v>
      </c>
      <c r="J6" s="40" t="n">
        <v>0.9</v>
      </c>
      <c r="K6" s="40" t="n">
        <v>0.9</v>
      </c>
      <c r="L6" s="40" t="n">
        <v>0.2</v>
      </c>
      <c r="M6" s="44">
        <f>IF(COUNT(F6:L6)&lt;7,"",ROUND(F6*G6*H6/I6*(0.5+0.5*AVERAGE(J6:K6))*(1-0.5*L6),2))</f>
        <v/>
      </c>
      <c r="N6" s="44">
        <f>IF(M6="","",RANK(M6,$M$5:$M$14))</f>
        <v/>
      </c>
      <c r="O6" s="45">
        <f>IF(B6="","",IF(OR(D6="",E6=""),"Thiếu",IF(SUMPRODUCT(--ISNUMBER(SEARCH({"0","1","2","3","4","5","6","7","8","9"},E6)))&gt;0,"Có","Thiếu")))</f>
        <v/>
      </c>
      <c r="P6" s="46" t="inlineStr">
        <is>
          <t>Tự làm</t>
        </is>
      </c>
      <c r="Q6" s="46" t="inlineStr">
        <is>
          <t>Dịch vụ tra cứu MST đã có sẵn để tích hợp, bảo đảm 0 lỗi mã số thuế theo yêu cầu</t>
        </is>
      </c>
    </row>
    <row r="7" ht="23.25" customHeight="1" s="33">
      <c r="A7" s="43" t="n">
        <v>3</v>
      </c>
      <c r="B7" s="40" t="inlineStr">
        <is>
          <t>Đọc ảnh hoá đơn giấy, ảnh chụp (Bản 2)</t>
        </is>
      </c>
      <c r="C7" s="40" t="inlineStr">
        <is>
          <t>Giảm 50% giờ nhập hoá đơn ảnh</t>
        </is>
      </c>
      <c r="D7" s="40" t="inlineStr">
        <is>
          <t>Ta tin rằng đọc ảnh hoá đơn qua 2 bước cho kế toán dịch vụ sẽ giúp giảm 50% thời gian nhập liệu hoá đơn giấy thủ công</t>
        </is>
      </c>
      <c r="E7" s="40" t="inlineStr">
        <is>
          <t>Thời gian xử lý giảm ≥ 50%; tỷ lệ nhận dạng đúng trường thông tin ≥ 95%</t>
        </is>
      </c>
      <c r="F7" s="40" t="n">
        <v>4</v>
      </c>
      <c r="G7" s="40" t="n">
        <v>5</v>
      </c>
      <c r="H7" s="40" t="n">
        <v>0.8</v>
      </c>
      <c r="I7" s="40" t="n">
        <v>3</v>
      </c>
      <c r="J7" s="40" t="n">
        <v>0.8</v>
      </c>
      <c r="K7" s="40" t="n">
        <v>0.8</v>
      </c>
      <c r="L7" s="40" t="n">
        <v>0.3</v>
      </c>
      <c r="M7" s="44">
        <f>IF(COUNT(F7:L7)&lt;7,"",ROUND(F7*G7*H7/I7*(0.5+0.5*AVERAGE(J7:K7))*(1-0.5*L7),2))</f>
        <v/>
      </c>
      <c r="N7" s="44">
        <f>IF(M7="","",RANK(M7,$M$5:$M$14))</f>
        <v/>
      </c>
      <c r="O7" s="45">
        <f>IF(B7="","",IF(OR(D7="",E7=""),"Thiếu",IF(SUMPRODUCT(--ISNUMBER(SEARCH({"0","1","2","3","4","5","6","7","8","9"},E7)))&gt;0,"Có","Thiếu")))</f>
        <v/>
      </c>
      <c r="P7" s="46" t="inlineStr">
        <is>
          <t>Tự làm</t>
        </is>
      </c>
      <c r="Q7" s="46" t="inlineStr">
        <is>
          <t>Tính năng cốt lõi của Bản 2 vừa qua cổng phát hành; xử lý mẫu hoá đơn Việt Nam khó bị nuốt</t>
        </is>
      </c>
    </row>
    <row r="8" ht="23.25" customHeight="1" s="33">
      <c r="A8" s="43" t="n">
        <v>4</v>
      </c>
      <c r="B8" s="40" t="inlineStr">
        <is>
          <t>Gắn cờ hoá đơn cần người xem</t>
        </is>
      </c>
      <c r="C8" s="40" t="inlineStr">
        <is>
          <t>Kế toán chỉ xem khoảng 20% hoá đơn</t>
        </is>
      </c>
      <c r="D8" s="40" t="inlineStr">
        <is>
          <t>Ta tin rằng tự động phát hiện sai lệch và gắn cờ các ca nghi ngờ sẽ giúp kế toán chỉ cần duyệt 20% hoá đơn mà không lọt lỗi</t>
        </is>
      </c>
      <c r="E8" s="40" t="inlineStr">
        <is>
          <t>Tỷ lệ hoá đơn phải duyệt ≤ 20%; tỷ lệ cờ thừa ≤ 10%; lỗi nghiêm trọng = 0</t>
        </is>
      </c>
      <c r="F8" s="40" t="n">
        <v>5</v>
      </c>
      <c r="G8" s="40" t="n">
        <v>5</v>
      </c>
      <c r="H8" s="40" t="n">
        <v>0.8</v>
      </c>
      <c r="I8" s="40" t="n">
        <v>2</v>
      </c>
      <c r="J8" s="40" t="n">
        <v>0.8</v>
      </c>
      <c r="K8" s="40" t="n">
        <v>0.8</v>
      </c>
      <c r="L8" s="40" t="n">
        <v>0.2</v>
      </c>
      <c r="M8" s="44">
        <f>IF(COUNT(F8:L8)&lt;7,"",ROUND(F8*G8*H8/I8*(0.5+0.5*AVERAGE(J8:K8))*(1-0.5*L8),2))</f>
        <v/>
      </c>
      <c r="N8" s="44">
        <f>IF(M8="","",RANK(M8,$M$5:$M$14))</f>
        <v/>
      </c>
      <c r="O8" s="45">
        <f>IF(B8="","",IF(OR(D8="",E8=""),"Thiếu",IF(SUMPRODUCT(--ISNUMBER(SEARCH({"0","1","2","3","4","5","6","7","8","9"},E8)))&gt;0,"Có","Thiếu")))</f>
        <v/>
      </c>
      <c r="P8" s="46" t="inlineStr">
        <is>
          <t>Tự làm</t>
        </is>
      </c>
      <c r="Q8" s="46" t="inlineStr">
        <is>
          <t>Việc quan trọng nhất để giảm chi phí người duyệt xuống dưới 20% và đưa biên gộp lên trên 60%</t>
        </is>
      </c>
    </row>
    <row r="9" ht="23.25" customHeight="1" s="33">
      <c r="A9" s="43" t="n">
        <v>5</v>
      </c>
      <c r="B9" s="40" t="inlineStr">
        <is>
          <t>Kiểm chứng gói phí với nhóm văn phòng dùng nhiều</t>
        </is>
      </c>
      <c r="C9" s="40" t="inlineStr">
        <is>
          <t>Duy trì doanh thu bình quân ≥ 3,71 triệu</t>
        </is>
      </c>
      <c r="D9" s="40" t="inlineStr">
        <is>
          <t>Ta tin rằng thiết kế gói hạn mức linh hoạt cho 30% văn phòng lớn sẽ giữ chân khách hàng và duy trì doanh thu bình quân ≥ 3,97 triệu</t>
        </is>
      </c>
      <c r="E9" s="40" t="inlineStr">
        <is>
          <t>Doanh thu bình quân ≥ 3,71 triệu/văn phòng trên ít nhất 10 văn phòng; giữ chân ≥ 90%</t>
        </is>
      </c>
      <c r="F9" s="40" t="n">
        <v>3</v>
      </c>
      <c r="G9" s="40" t="n">
        <v>5</v>
      </c>
      <c r="H9" s="40" t="n">
        <v>0.8</v>
      </c>
      <c r="I9" s="40" t="n">
        <v>1</v>
      </c>
      <c r="J9" s="40" t="n">
        <v>0.9</v>
      </c>
      <c r="K9" s="40" t="n">
        <v>0.8</v>
      </c>
      <c r="L9" s="40" t="n">
        <v>0.1</v>
      </c>
      <c r="M9" s="44">
        <f>IF(COUNT(F9:L9)&lt;7,"",ROUND(F9*G9*H9/I9*(0.5+0.5*AVERAGE(J9:K9))*(1-0.5*L9),2))</f>
        <v/>
      </c>
      <c r="N9" s="44">
        <f>IF(M9="","",RANK(M9,$M$5:$M$14))</f>
        <v/>
      </c>
      <c r="O9" s="45">
        <f>IF(B9="","",IF(OR(D9="",E9=""),"Thiếu",IF(SUMPRODUCT(--ISNUMBER(SEARCH({"0","1","2","3","4","5","6","7","8","9"},E9)))&gt;0,"Có","Thiếu")))</f>
        <v/>
      </c>
      <c r="P9" s="46" t="inlineStr">
        <is>
          <t>Tự làm</t>
        </is>
      </c>
      <c r="Q9" s="46" t="inlineStr">
        <is>
          <t>Kiểm chứng biến nguy hiểm nhất của đề (65% doanh thu đến từ 30% văn phòng dùng nhiều)</t>
        </is>
      </c>
    </row>
    <row r="10" ht="23.25" customHeight="1" s="33">
      <c r="A10" s="43" t="n">
        <v>6</v>
      </c>
      <c r="B10" s="40" t="inlineStr">
        <is>
          <t>Gợi ý tài khoản hạch toán theo ngành hàng</t>
        </is>
      </c>
      <c r="C10" s="40" t="inlineStr">
        <is>
          <t>Giảm 30% thời gian hạch toán</t>
        </is>
      </c>
      <c r="D10" s="40" t="inlineStr">
        <is>
          <t>Ta tin rằng gợi ý tự động tài khoản Nợ/Có dựa trên nội dung hàng hoá sẽ giúp kế toán giảm 30% thời gian định khoản</t>
        </is>
      </c>
      <c r="E10" s="40" t="inlineStr">
        <is>
          <t>Tỷ lệ gợi ý đúng tài khoản hạch toán ≥ 80%; giảm ≥ 30% thời gian định khoản</t>
        </is>
      </c>
      <c r="F10" s="40" t="n">
        <v>4</v>
      </c>
      <c r="G10" s="40" t="n">
        <v>3</v>
      </c>
      <c r="H10" s="40" t="n">
        <v>0.5</v>
      </c>
      <c r="I10" s="40" t="n">
        <v>4</v>
      </c>
      <c r="J10" s="40" t="n">
        <v>0.2</v>
      </c>
      <c r="K10" s="40" t="n">
        <v>0.3</v>
      </c>
      <c r="L10" s="40" t="n">
        <v>0.3</v>
      </c>
      <c r="M10" s="44">
        <f>IF(COUNT(F10:L10)&lt;7,"",ROUND(F10*G10*H10/I10*(0.5+0.5*AVERAGE(J10:K10))*(1-0.5*L10),2))</f>
        <v/>
      </c>
      <c r="N10" s="44">
        <f>IF(M10="","",RANK(M10,$M$5:$M$14))</f>
        <v/>
      </c>
      <c r="O10" s="45">
        <f>IF(B10="","",IF(OR(D10="",E10=""),"Thiếu",IF(SUMPRODUCT(--ISNUMBER(SEARCH({"0","1","2","3","4","5","6","7","8","9"},E10)))&gt;0,"Có","Thiếu")))</f>
        <v/>
      </c>
      <c r="P10" s="46" t="inlineStr">
        <is>
          <t>Chờ</t>
        </is>
      </c>
      <c r="Q10" s="46" t="inlineStr">
        <is>
          <t>Hồ sơ nêu rõ chưa có dữ liệu hạch toán của các doanh nghiệp khách hàng; chờ thu thập 3-6 tháng</t>
        </is>
      </c>
    </row>
    <row r="11" ht="15" customHeight="1" s="33">
      <c r="A11" s="43" t="n">
        <v>7</v>
      </c>
      <c r="B11" s="40" t="inlineStr">
        <is>
          <t>Trả lời câu hỏi thuế chung cho khách của văn phòng</t>
        </is>
      </c>
      <c r="C11" s="40" t="inlineStr">
        <is>
          <t>Bớt cuộc gọi hỏi đáp</t>
        </is>
      </c>
      <c r="D11" s="40" t="inlineStr">
        <is>
          <t>Ta tin rằng trợ lý AI giải đáp luật thuế chung sẽ giảm bớt các cuộc gọi hỏi đáp trùng lặp cho văn phòng kế toán</t>
        </is>
      </c>
      <c r="E11" s="40" t="inlineStr">
        <is>
          <t>Giảm ≥ 30% cuộc gọi hỏi đáp; điểm hài lòng khách hàng ≥ 4.0/5</t>
        </is>
      </c>
      <c r="F11" s="40" t="n">
        <v>3</v>
      </c>
      <c r="G11" s="40" t="n">
        <v>2</v>
      </c>
      <c r="H11" s="40" t="n">
        <v>0.5</v>
      </c>
      <c r="I11" s="40" t="n">
        <v>3</v>
      </c>
      <c r="J11" s="40" t="n">
        <v>0.4</v>
      </c>
      <c r="K11" s="40" t="n">
        <v>0.3</v>
      </c>
      <c r="L11" s="40" t="n">
        <v>0.9</v>
      </c>
      <c r="M11" s="44">
        <f>IF(COUNT(F11:L11)&lt;7,"",ROUND(F11*G11*H11/I11*(0.5+0.5*AVERAGE(J11:K11))*(1-0.5*L11),2))</f>
        <v/>
      </c>
      <c r="N11" s="44">
        <f>IF(M11="","",RANK(M11,$M$5:$M$14))</f>
        <v/>
      </c>
      <c r="O11" s="45">
        <f>IF(B11="","",IF(OR(D11="",E11=""),"Thiếu",IF(SUMPRODUCT(--ISNUMBER(SEARCH({"0","1","2","3","4","5","6","7","8","9"},E11)))&gt;0,"Có","Thiếu")))</f>
        <v/>
      </c>
      <c r="P11" s="46" t="inlineStr">
        <is>
          <t>Không làm</t>
        </is>
      </c>
      <c r="Q11" s="46" t="inlineStr">
        <is>
          <t>Rủi ro bị nuốt cực cao (0,9) do các mô hình AI nền tảng miễn phí làm rất tốt; ngoài trọng tâm SổSạch</t>
        </is>
      </c>
    </row>
    <row r="12" ht="15" customHeight="1" s="33">
      <c r="A12" s="43" t="n">
        <v>8</v>
      </c>
      <c r="B12" s="40" t="n"/>
      <c r="C12" s="40" t="n"/>
      <c r="D12" s="40" t="n"/>
      <c r="E12" s="40" t="n"/>
      <c r="F12" s="40" t="n"/>
      <c r="G12" s="40" t="n"/>
      <c r="H12" s="40" t="n"/>
      <c r="I12" s="40" t="n"/>
      <c r="J12" s="40" t="n"/>
      <c r="K12" s="40" t="n"/>
      <c r="L12" s="40" t="n"/>
      <c r="M12" s="44">
        <f>IF(COUNT(F12:L12)&lt;7,"",ROUND(F12*G12*H12/I12*(0.5+0.5*AVERAGE(J12:K12))*(1-0.5*L12),2))</f>
        <v/>
      </c>
      <c r="N12" s="44">
        <f>IF(M12="","",RANK(M12,$M$5:$M$14))</f>
        <v/>
      </c>
      <c r="O12" s="45">
        <f>IF(B12="","",IF(OR(D12="",E12=""),"Thiếu",IF(SUMPRODUCT(--ISNUMBER(SEARCH({"0","1","2","3","4","5","6","7","8","9"},E12)))&gt;0,"Có","Thiếu")))</f>
        <v/>
      </c>
      <c r="P12" s="46" t="n"/>
      <c r="Q12" s="46" t="n"/>
    </row>
    <row r="13" ht="15" customHeight="1" s="33">
      <c r="A13" s="43" t="n">
        <v>9</v>
      </c>
      <c r="B13" s="40" t="n"/>
      <c r="C13" s="40" t="n"/>
      <c r="D13" s="40" t="n"/>
      <c r="E13" s="40" t="n"/>
      <c r="F13" s="40" t="n"/>
      <c r="G13" s="40" t="n"/>
      <c r="H13" s="40" t="n"/>
      <c r="I13" s="40" t="n"/>
      <c r="J13" s="40" t="n"/>
      <c r="K13" s="40" t="n"/>
      <c r="L13" s="40" t="n"/>
      <c r="M13" s="44">
        <f>IF(COUNT(F13:L13)&lt;7,"",ROUND(F13*G13*H13/I13*(0.5+0.5*AVERAGE(J13:K13))*(1-0.5*L13),2))</f>
        <v/>
      </c>
      <c r="N13" s="44">
        <f>IF(M13="","",RANK(M13,$M$5:$M$14))</f>
        <v/>
      </c>
      <c r="O13" s="45">
        <f>IF(B13="","",IF(OR(D13="",E13=""),"Thiếu",IF(SUMPRODUCT(--ISNUMBER(SEARCH({"0","1","2","3","4","5","6","7","8","9"},E13)))&gt;0,"Có","Thiếu")))</f>
        <v/>
      </c>
      <c r="P13" s="46" t="n"/>
      <c r="Q13" s="46" t="n"/>
    </row>
    <row r="14" ht="15" customHeight="1" s="33">
      <c r="A14" s="43" t="n">
        <v>10</v>
      </c>
      <c r="B14" s="40" t="n"/>
      <c r="C14" s="40" t="n"/>
      <c r="D14" s="40" t="n"/>
      <c r="E14" s="40" t="n"/>
      <c r="F14" s="40" t="n"/>
      <c r="G14" s="40" t="n"/>
      <c r="H14" s="40" t="n"/>
      <c r="I14" s="40" t="n"/>
      <c r="J14" s="40" t="n"/>
      <c r="K14" s="40" t="n"/>
      <c r="L14" s="40" t="n"/>
      <c r="M14" s="44">
        <f>IF(COUNT(F14:L14)&lt;7,"",ROUND(F14*G14*H14/I14*(0.5+0.5*AVERAGE(J14:K14))*(1-0.5*L14),2))</f>
        <v/>
      </c>
      <c r="N14" s="44">
        <f>IF(M14="","",RANK(M14,$M$5:$M$14))</f>
        <v/>
      </c>
      <c r="O14" s="45">
        <f>IF(B14="","",IF(OR(D14="",E14=""),"Thiếu",IF(SUMPRODUCT(--ISNUMBER(SEARCH({"0","1","2","3","4","5","6","7","8","9"},E14)))&gt;0,"Có","Thiếu")))</f>
        <v/>
      </c>
      <c r="P14" s="46" t="n"/>
      <c r="Q14" s="46" t="n"/>
    </row>
  </sheetData>
  <sheetProtection selectLockedCells="0" selectUnlockedCells="0" sheet="1" objects="0" insertRows="1" insertHyperlinks="1" autoFilter="1" scenarios="0" formatColumns="0" deleteColumns="1" insertColumns="1" pivotTables="1" deleteRows="1" formatCells="1" formatRows="0" sort="1"/>
  <dataValidations count="4">
    <dataValidation sqref="F5:G14 I5:I14" showDropDown="0" showInputMessage="0" showErrorMessage="1" allowBlank="1" errorTitle="Ngoài thang điểm" error="Nhập số nguyên từ 1 đến 5." type="whole" errorStyle="stop" operator="between">
      <formula1>1</formula1>
      <formula2>5</formula2>
    </dataValidation>
    <dataValidation sqref="H5:H14" showDropDown="0" showInputMessage="0" showErrorMessage="1" allowBlank="1" errorTitle="Mức tự tin" error="Dùng 0,5 (đoán), 0,8 (có dấu hiệu) hoặc 1 (có số liệu)." type="decimal" errorStyle="stop" operator="between">
      <formula1>0.5</formula1>
      <formula2>1</formula2>
    </dataValidation>
    <dataValidation sqref="J5:L14" showDropDown="0" showInputMessage="0" showErrorMessage="1" allowBlank="1" errorTitle="Ngoài thang 0–1" error="Nhập số từ 0 đến 1, ví dụ 0,6." type="decimal" errorStyle="stop" operator="between">
      <formula1>0</formula1>
      <formula2>1</formula2>
    </dataValidation>
    <dataValidation sqref="P5:P14" showDropDown="0" showInputMessage="0" showErrorMessage="0" allowBlank="1" type="list" errorStyle="stop" operator="between">
      <formula1>"Tự làm,Mua,Chờ,Không làm"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32" min="1" max="1"/>
    <col width="20" customWidth="1" style="32" min="2" max="2"/>
    <col width="34" customWidth="1" style="32" min="3" max="3"/>
    <col width="30" customWidth="1" style="32" min="4" max="4"/>
    <col width="44" customWidth="1" style="32" min="5" max="5"/>
    <col width="36" customWidth="1" style="32" min="6" max="6"/>
    <col width="12" customWidth="1" style="32" min="7" max="8"/>
    <col width="18" customWidth="1" style="32" min="9" max="9"/>
    <col width="14" customWidth="1" style="32" min="10" max="10"/>
    <col width="12" customWidth="1" style="32" min="11" max="11"/>
    <col width="13" customWidth="1" style="32" min="12" max="12"/>
    <col width="11" customWidth="1" style="32" min="13" max="13"/>
  </cols>
  <sheetData>
    <row r="1" ht="17.25" customHeight="1" s="33">
      <c r="A1" s="34" t="inlineStr">
        <is>
          <t>2 · Lộ trình tăng dần mức tự động và cổng đánh giá</t>
        </is>
      </c>
    </row>
    <row r="2" ht="15" customHeight="1" s="33">
      <c r="A2" s="35" t="inlineStr">
        <is>
          <t>Mỗi lần lên mức phải qua một cổng đánh giá bằng con số. Chưa qua cổng thì chưa lên mức, dù đã đến ngày. Mức tự động quyết định chi phí mỗi việc: xem cột H–L.</t>
        </is>
      </c>
    </row>
    <row r="4" ht="26.25" customHeight="1" s="33">
      <c r="A4" s="42" t="inlineStr">
        <is>
          <t>Mức</t>
        </is>
      </c>
      <c r="B4" s="42" t="inlineStr">
        <is>
          <t>Tên mức</t>
        </is>
      </c>
      <c r="C4" s="42" t="inlineStr">
        <is>
          <t>AI làm gì</t>
        </is>
      </c>
      <c r="D4" s="42" t="inlineStr">
        <is>
          <t>Người làm gì</t>
        </is>
      </c>
      <c r="E4" s="42" t="inlineStr">
        <is>
          <t>Cổng đánh giá để lên mức này (chỉ số + ngưỡng + cỡ mẫu)</t>
        </is>
      </c>
      <c r="F4" s="42" t="inlineStr">
        <is>
          <t>Dữ liệu / hạ tầng / tuân thủ cần có</t>
        </is>
      </c>
      <c r="G4" s="42" t="inlineStr">
        <is>
          <t>Dự kiến (kế hoạch nội bộ, không phải cam kết)</t>
        </is>
      </c>
      <c r="H4" s="42" t="inlineStr">
        <is>
          <t>% việc có người duyệt</t>
        </is>
      </c>
      <c r="I4" s="42" t="inlineStr">
        <is>
          <t>Ai duyệt</t>
        </is>
      </c>
      <c r="J4" s="42" t="inlineStr">
        <is>
          <t>Chi phí mỗi việc (đ)</t>
        </is>
      </c>
      <c r="K4" s="42" t="inlineStr">
        <is>
          <t>Biên lợi nhuận gộp</t>
        </is>
      </c>
      <c r="L4" s="42" t="inlineStr">
        <is>
          <t>Biên ≥ 60%?</t>
        </is>
      </c>
      <c r="M4" s="42" t="inlineStr">
        <is>
          <t>Cổng có con số?</t>
        </is>
      </c>
    </row>
    <row r="5" ht="48" customHeight="1" s="33">
      <c r="A5" s="43" t="n">
        <v>0</v>
      </c>
      <c r="B5" s="40" t="inlineStr">
        <is>
          <t>Gợi ý</t>
        </is>
      </c>
      <c r="C5" s="40" t="inlineStr">
        <is>
          <t>AI nhận dạng ảnh hoá đơn 2 bước và trích xuất dữ liệu thô</t>
        </is>
      </c>
      <c r="D5" s="40" t="inlineStr">
        <is>
          <t>Kế toán viên công ty kiểm tra và đối chiếu 100% hoá đơn trước khi nhập vào phần mềm</t>
        </is>
      </c>
      <c r="E5" s="40" t="inlineStr">
        <is>
          <t>— (mức khởi đầu)</t>
        </is>
      </c>
      <c r="F5" s="40" t="inlineStr">
        <is>
          <t>Kết nối phần mềm kế toán; bộ đề 40 ca; thông báo khách hàng đang xử lý qua AI theo Luật AI</t>
        </is>
      </c>
      <c r="G5" s="40" t="inlineStr">
        <is>
          <t>T1–T2</t>
        </is>
      </c>
      <c r="H5" s="47" t="n">
        <v>1</v>
      </c>
      <c r="I5" s="46" t="inlineStr">
        <is>
          <t>Người của mình</t>
        </is>
      </c>
      <c r="J5" s="48">
        <f>IF(H5="","",$B$12+$B$13+IF(I5="Người của mình",H5*$B$14*$B$15/60,0))</f>
        <v/>
      </c>
      <c r="K5" s="49">
        <f>IF(J5="","",IFERROR(($B$16-$B$17*J5)/$B$16,""))</f>
        <v/>
      </c>
      <c r="L5" s="50">
        <f>IF(K5="","",IF(K5&gt;=0.6,"Đạt","Dưới ngưỡng"))</f>
        <v/>
      </c>
    </row>
    <row r="6" ht="48" customHeight="1" s="33">
      <c r="A6" s="43" t="n">
        <v>1</v>
      </c>
      <c r="B6" s="40" t="inlineStr">
        <is>
          <t>Hỗ trợ có duyệt</t>
        </is>
      </c>
      <c r="C6" s="40" t="inlineStr">
        <is>
          <t>AI tự động nhập hoá đơn điện tử chuẩn và hoá đơn ảnh rõ nét; tự động gắn cờ ca nghi ngờ</t>
        </is>
      </c>
      <c r="D6" s="40" t="inlineStr">
        <is>
          <t>Kế toán viên duyệt 100% hoá đơn gắn cờ + kiểm tra ngẫu nhiên mẫu 10% (tổng duyệt 20%)</t>
        </is>
      </c>
      <c r="E6" s="40" t="inlineStr">
        <is>
          <t>Tỷ lệ đạt quy về thực tế ≥ 97% trên ≥ 500 hoá đơn thật; 0 lỗi mã số thuế; 0 lỗi tiền; do chị Hạnh xác nhận</t>
        </is>
      </c>
      <c r="F6" s="40" t="inlineStr">
        <is>
          <t>Mở rộng bộ đề lên 200 ca; quy trình kiểm tra mẫu 1% tuần đầu; phân quyền người duyệt</t>
        </is>
      </c>
      <c r="G6" s="40" t="inlineStr">
        <is>
          <t>T3–T4</t>
        </is>
      </c>
      <c r="H6" s="47" t="n">
        <v>0.2</v>
      </c>
      <c r="I6" s="46" t="inlineStr">
        <is>
          <t>Người của mình</t>
        </is>
      </c>
      <c r="J6" s="48">
        <f>IF(H6="","",$B$12+$B$13+IF(I6="Người của mình",H6*$B$14*$B$15/60,0))</f>
        <v/>
      </c>
      <c r="K6" s="49">
        <f>IF(J6="","",IFERROR(($B$16-$B$17*J6)/$B$16,""))</f>
        <v/>
      </c>
      <c r="L6" s="50">
        <f>IF(K6="","",IF(K6&gt;=0.6,"Đạt","Dưới ngưỡng"))</f>
        <v/>
      </c>
      <c r="M6" s="50">
        <f>IF(E6="","",IF(SUMPRODUCT(--ISNUMBER(SEARCH({"0","1","2","3","4","5","6","7","8","9"},E6)))&gt;0,"Có","Thiếu"))</f>
        <v/>
      </c>
    </row>
    <row r="7" ht="48" customHeight="1" s="33">
      <c r="A7" s="43" t="n">
        <v>2</v>
      </c>
      <c r="B7" s="40" t="inlineStr">
        <is>
          <t>Tự động một phần</t>
        </is>
      </c>
      <c r="C7" s="40" t="inlineStr">
        <is>
          <t>AI tự đối chiếu mã số thuế và nhập 90% hoá đơn; tự động chuyển ca bất thường vào hàng chờ</t>
        </is>
      </c>
      <c r="D7" s="40" t="inlineStr">
        <is>
          <t>Kế toán viên công ty chỉ xử lý các hoá đơn trong hàng chờ gắn cờ (khoảng 10%)</t>
        </is>
      </c>
      <c r="E7" s="40" t="inlineStr">
        <is>
          <t>Độ chính xác trường dữ liệu ≥ 98% trên ≥ 1.000 ca; tỷ lệ cờ thừa ≤ 10%; 0 lỗi mã số thuế; do anh Tùng xác nhận</t>
        </is>
      </c>
      <c r="F7" s="40" t="inlineStr">
        <is>
          <t>Hàng chờ xử lý ngoại lệ tự động; cơ chế cảnh báo tức thời khi sai mã số thuế; bộ đề 500 ca</t>
        </is>
      </c>
      <c r="G7" s="40" t="inlineStr">
        <is>
          <t>T5–T8</t>
        </is>
      </c>
      <c r="H7" s="47" t="n">
        <v>0.1</v>
      </c>
      <c r="I7" s="46" t="inlineStr">
        <is>
          <t>Người của mình</t>
        </is>
      </c>
      <c r="J7" s="48">
        <f>IF(H7="","",$B$12+$B$13+IF(I7="Người của mình",H7*$B$14*$B$15/60,0))</f>
        <v/>
      </c>
      <c r="K7" s="49">
        <f>IF(J7="","",IFERROR(($B$16-$B$17*J7)/$B$16,""))</f>
        <v/>
      </c>
      <c r="L7" s="50">
        <f>IF(K7="","",IF(K7&gt;=0.6,"Đạt","Dưới ngưỡng"))</f>
        <v/>
      </c>
      <c r="M7" s="50">
        <f>IF(E7="","",IF(SUMPRODUCT(--ISNUMBER(SEARCH({"0","1","2","3","4","5","6","7","8","9"},E7)))&gt;0,"Có","Thiếu"))</f>
        <v/>
      </c>
    </row>
    <row r="8" ht="48" customHeight="1" s="33">
      <c r="A8" s="43" t="n">
        <v>3</v>
      </c>
      <c r="B8" s="40" t="inlineStr">
        <is>
          <t>Tự động có giám sát</t>
        </is>
      </c>
      <c r="C8" s="40" t="inlineStr">
        <is>
          <t>AI tự động nhập hoá đơn và tự đối chiếu thuế; chỉ giữ lại 5% hoá đơn rủi ro cao</t>
        </is>
      </c>
      <c r="D8" s="40" t="inlineStr">
        <is>
          <t>Kế toán viên theo dõi bảng giám sát vận hành, chỉ can thiệp 5% ca ngoại lệ phức tạp</t>
        </is>
      </c>
      <c r="E8" s="40" t="inlineStr">
        <is>
          <t>Khớp dữ liệu ≥ 99% trên ≥ 2.000 ca; tỷ lệ khiếu nại sai sót &lt; 0,1%; do chị Hạnh và ban giám đốc ký duyệt</t>
        </is>
      </c>
      <c r="F8" s="40" t="inlineStr">
        <is>
          <t>Tích hợp API Tổng cục Thuế thời gian thực; hệ thống phân tích bất thường tự động; lưu vết kiểm toán</t>
        </is>
      </c>
      <c r="G8" s="40" t="inlineStr">
        <is>
          <t>T9–T12</t>
        </is>
      </c>
      <c r="H8" s="47" t="n">
        <v>0.05</v>
      </c>
      <c r="I8" s="46" t="inlineStr">
        <is>
          <t>Người của mình</t>
        </is>
      </c>
      <c r="J8" s="48">
        <f>IF(H8="","",$B$12+$B$13+IF(I8="Người của mình",H8*$B$14*$B$15/60,0))</f>
        <v/>
      </c>
      <c r="K8" s="49">
        <f>IF(J8="","",IFERROR(($B$16-$B$17*J8)/$B$16,""))</f>
        <v/>
      </c>
      <c r="L8" s="50">
        <f>IF(K8="","",IF(K8&gt;=0.6,"Đạt","Dưới ngưỡng"))</f>
        <v/>
      </c>
      <c r="M8" s="50">
        <f>IF(E8="","",IF(SUMPRODUCT(--ISNUMBER(SEARCH({"0","1","2","3","4","5","6","7","8","9"},E8)))&gt;0,"Có","Thiếu"))</f>
        <v/>
      </c>
    </row>
    <row r="11" ht="15" customHeight="1" s="33">
      <c r="A11" s="41" t="inlineStr">
        <is>
          <t>SỐ LIỆU KINH TẾ CỦA ĐỀ (đã điền sẵn từ hồ sơ tình huống; sửa được nếu nhóm có lý do)</t>
        </is>
      </c>
    </row>
    <row r="12" ht="15" customHeight="1" s="33">
      <c r="A12" s="51" t="inlineStr">
        <is>
          <t>Chi phí gọi AI / việc (đã tính gọi lại)</t>
        </is>
      </c>
      <c r="B12" s="52" t="n">
        <v>254</v>
      </c>
      <c r="C12" s="53" t="inlineStr">
        <is>
          <t>Hồ sơ, bảng Số liệu kinh tế, dòng 1</t>
        </is>
      </c>
    </row>
    <row r="13" ht="15" customHeight="1" s="33">
      <c r="A13" s="51" t="inlineStr">
        <is>
          <t>Hạ tầng + đánh giá + khác / việc</t>
        </is>
      </c>
      <c r="B13" s="52" t="n">
        <v>200</v>
      </c>
      <c r="C13" s="53" t="inlineStr">
        <is>
          <t>dòng 2</t>
        </is>
      </c>
    </row>
    <row r="14" ht="15" customHeight="1" s="33">
      <c r="A14" s="51" t="inlineStr">
        <is>
          <t>Số phút người duyệt / việc</t>
        </is>
      </c>
      <c r="B14" s="54" t="n">
        <v>1.5</v>
      </c>
      <c r="C14" s="53" t="inlineStr">
        <is>
          <t>dòng 3</t>
        </is>
      </c>
    </row>
    <row r="15" ht="15" customHeight="1" s="33">
      <c r="A15" s="51" t="inlineStr">
        <is>
          <t>Chi phí 1 giờ người duyệt (đ)</t>
        </is>
      </c>
      <c r="B15" s="52" t="n">
        <v>50000</v>
      </c>
      <c r="C15" s="53" t="inlineStr">
        <is>
          <t>dòng 4</t>
        </is>
      </c>
    </row>
    <row r="16" ht="15" customHeight="1" s="33">
      <c r="A16" s="51" t="inlineStr">
        <is>
          <t>Doanh thu bình quân / khách / tháng (đ)</t>
        </is>
      </c>
      <c r="B16" s="52" t="n">
        <v>3970000</v>
      </c>
      <c r="C16" s="53" t="inlineStr">
        <is>
          <t>dòng 5</t>
        </is>
      </c>
    </row>
    <row r="17" ht="15" customHeight="1" s="33">
      <c r="A17" s="51" t="inlineStr">
        <is>
          <t>Số việc bình quân / khách / tháng</t>
        </is>
      </c>
      <c r="B17" s="52" t="n">
        <v>1760</v>
      </c>
      <c r="C17" s="53" t="inlineStr">
        <is>
          <t>dòng 6</t>
        </is>
      </c>
    </row>
    <row r="18" ht="15" customHeight="1" s="33">
      <c r="A18" s="51" t="inlineStr">
        <is>
          <t>Biến nguy hiểm nhất</t>
        </is>
      </c>
      <c r="B18" s="46" t="inlineStr">
        <is>
          <t>Doanh thu bình quân (65% doanh thu đến từ 30% văn phòng dùng nhiều)</t>
        </is>
      </c>
      <c r="C18" s="53" t="inlineStr">
        <is>
          <t>dòng 7</t>
        </is>
      </c>
    </row>
    <row r="19" ht="15" customHeight="1" s="33">
      <c r="A19" s="51" t="inlineStr">
        <is>
          <t>Điều kiện dừng đã chọn (theo đề)</t>
        </is>
      </c>
      <c r="B19" s="46" t="inlineStr">
        <is>
          <t>NẾU doanh thu bình quân dưới 3,71 triệu/văn phòng trong 2 tháng liên tiếp, trên ít nhất 10 văn phòng, THÌ dừng mở rộng</t>
        </is>
      </c>
      <c r="C19" s="53" t="inlineStr">
        <is>
          <t>dòng 8</t>
        </is>
      </c>
    </row>
    <row r="20" ht="15" customHeight="1" s="33">
      <c r="A20" s="51" t="inlineStr">
        <is>
          <t>Kịch bản xấu hết tiền ở tháng</t>
        </is>
      </c>
      <c r="B20" s="55" t="n">
        <v>7</v>
      </c>
      <c r="C20" s="53" t="inlineStr">
        <is>
          <t>dòng 9</t>
        </is>
      </c>
    </row>
    <row r="22" ht="15" customHeight="1" s="33">
      <c r="A22" s="53" t="inlineStr">
        <is>
          <t>Ghi chú: người duyệt của mình là kế toán viên của công ty. Gợi ý của đề: Mức 1 duyệt khoảng 20%; Mức 2 khoảng 10%.</t>
        </is>
      </c>
    </row>
    <row r="23" ht="15" customHeight="1" s="33">
      <c r="A23" s="53" t="n"/>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I5:I8" showDropDown="0" showInputMessage="0" showErrorMessage="0" allowBlank="1" type="list" errorStyle="stop" operator="between">
      <formula1>"Người của mình,Nhân viên cửa hàng"</formula1>
      <formula2>0</formula2>
    </dataValidation>
    <dataValidation sqref="H5:H8" showDropDown="0" showInputMessage="0" showErrorMessage="0" allowBlank="1" type="decimal" errorStyle="stop" operator="between">
      <formula1>0</formula1>
      <formula2>1</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2" min="1" max="1"/>
    <col width="42" customWidth="1" style="32" min="2" max="4"/>
  </cols>
  <sheetData>
    <row r="1" ht="17.25" customHeight="1" s="33">
      <c r="A1" s="34" t="inlineStr">
        <is>
          <t>3 · Bảng lộ trình theo giả thuyết: Bây giờ / Tiếp theo / Sau này</t>
        </is>
      </c>
    </row>
    <row r="2" ht="15" customHeight="1" s="33">
      <c r="A2" s="35" t="inlineStr">
        <is>
          <t>Bây giờ = cam kết (0–3 tháng) · Tiếp theo = định hướng (3–6 tháng) · Sau này = khám phá (6–12 tháng). Càng xa càng ít chi tiết.</t>
        </is>
      </c>
    </row>
    <row r="4" ht="15" customHeight="1" s="33">
      <c r="A4" s="42" t="inlineStr">
        <is>
          <t>Dòng</t>
        </is>
      </c>
      <c r="B4" s="42" t="inlineStr">
        <is>
          <t>Bây giờ (0–3 tháng)</t>
        </is>
      </c>
      <c r="C4" s="42" t="inlineStr">
        <is>
          <t>Tiếp theo (3–6 tháng)</t>
        </is>
      </c>
      <c r="D4" s="42" t="inlineStr">
        <is>
          <t>Sau này (6–12 tháng)</t>
        </is>
      </c>
    </row>
    <row r="5" ht="48" customHeight="1" s="33">
      <c r="A5" s="56" t="inlineStr">
        <is>
          <t>Việc chính (lấy từ trang 1)</t>
        </is>
      </c>
      <c r="B5" s="40" t="inlineStr">
        <is>
          <t>Nhập tự động hoá đơn điện tử (hạng 1) + Đối chiếu mã số thuế (hạng 2) + Đọc ảnh hoá đơn Bản 2 (hạng 3) + Gắn cờ hoá đơn (hạng 4) + Kiểm chứng khách lớn (hạng 5)</t>
        </is>
      </c>
      <c r="C5" s="40" t="inlineStr">
        <is>
          <t>Lên Mức 2 (Tự động một phần) cho 90% hoá đơn thường + Thu thập dữ liệu hạch toán từ 20 doanh nghiệp khách hàng</t>
        </is>
      </c>
      <c r="D5" s="40" t="inlineStr">
        <is>
          <t>Thử nghiệm Mức 3 (Tự động có giám sát) + Triển khai gợi ý tài khoản hạch toán theo ngành hàng. Không làm chatbot tư vấn thuế: rủi ro bị nuốt 0,9</t>
        </is>
      </c>
    </row>
    <row r="6" ht="48" customHeight="1" s="33">
      <c r="A6" s="56" t="inlineStr">
        <is>
          <t>Giả thuyết</t>
        </is>
      </c>
      <c r="B6" s="40" t="inlineStr">
        <is>
          <t>Ta tin rằng nhập tự động tệp gốc kết hợp lọc cờ và đối chiếu MST sẽ giảm 50% thời gian nhập liệu mà không bao giờ sai mã số thuế hoặc tiền</t>
        </is>
      </c>
      <c r="C6" s="40" t="inlineStr">
        <is>
          <t>AI tự xử lý 90% hoá đơn và chuyển người kịp thời sẽ giúp văn phòng kế toán tăng gấp 2 năng suất xử lý</t>
        </is>
      </c>
      <c r="D6" s="40" t="inlineStr">
        <is>
          <t>Gợi ý tài khoản hạch toán đúng sẽ giúp kế toán hoàn tất trọn vẹn quy trình ghi sổ nhanh hơn 30%</t>
        </is>
      </c>
    </row>
    <row r="7" ht="48" customHeight="1" s="33">
      <c r="A7" s="56" t="inlineStr">
        <is>
          <t>Chỉ số thành công và ngưỡng</t>
        </is>
      </c>
      <c r="B7" s="40" t="inlineStr">
        <is>
          <t>Tỷ lệ đạt bộ đề ≥ 97,3%; 0 lỗi sai mã số thuế hoặc tiền; tỷ lệ gắn cờ ≤ 20%; tuần đầu chị Hạnh kiểm tra 1% hoá đơn thật</t>
        </is>
      </c>
      <c r="C7" s="40" t="inlineStr">
        <is>
          <t>Tỷ lệ cờ thừa ≤ 10%; độ chính xác trường dữ liệu ≥ 98%; biên lợi nhuận gộp đạt 74,33%</t>
        </is>
      </c>
      <c r="D7" s="40" t="inlineStr">
        <is>
          <t>Tỷ lệ gợi ý đúng tài khoản ≥ 80%; tỷ lệ người duyệt công ty giảm còn 5%; biên gộp đạt 77,10%</t>
        </is>
      </c>
    </row>
    <row r="8" ht="48" customHeight="1" s="33">
      <c r="A8" s="56" t="inlineStr">
        <is>
          <t>Mức tự động (trang 2)</t>
        </is>
      </c>
      <c r="B8" s="40" t="inlineStr">
        <is>
          <t>Mức 0 → Mức 1 (tỷ lệ người duyệt giảm từ 100% xuống 20%)</t>
        </is>
      </c>
      <c r="C8" s="40" t="inlineStr">
        <is>
          <t>Mức 2 (người duyệt công ty kiểm tra 10%)</t>
        </is>
      </c>
      <c r="D8" s="40" t="inlineStr">
        <is>
          <t>Mức 3 cho nhập liệu; Mức 1 cho gợi ý tài khoản hạch toán</t>
        </is>
      </c>
    </row>
    <row r="9" ht="48" customHeight="1" s="33">
      <c r="A9" s="56" t="inlineStr">
        <is>
          <t>Cổng đánh giá</t>
        </is>
      </c>
      <c r="B9" s="40" t="inlineStr">
        <is>
          <t>Tỷ lệ đạt ≥ 97% trên ≥ 500 hoá đơn thật; sai mã số thuế = 0; sai tiền = 0 do chị Hạnh xác nhận</t>
        </is>
      </c>
      <c r="C9" s="40" t="inlineStr">
        <is>
          <t>Độ chính xác ≥ 98% trên ≥ 1.000 ca; tỷ lệ cờ thừa ≤ 10%; 0 lỗi mã số thuế do anh Tùng xác nhận</t>
        </is>
      </c>
      <c r="D9" s="40" t="inlineStr">
        <is>
          <t>Khớp dữ liệu ≥ 99% trên ≥ 2.000 ca; tỷ lệ khiếu nại sai sót &lt; 0,1%</t>
        </is>
      </c>
    </row>
    <row r="10" ht="48" customHeight="1" s="33">
      <c r="A10" s="56" t="inlineStr">
        <is>
          <t>Điều kiện cần: dữ liệu / hạ tầng / tuân thủ</t>
        </is>
      </c>
      <c r="B10" s="40" t="inlineStr">
        <is>
          <t>Bộ đề chuẩn 40 ca thực tế; dịch vụ tra cứu mã số thuế tích hợp sẵn; 3 giờ sáng thứ Bảy của chị Hạnh; thông báo người dùng theo Luật AI số 134/2025/QH15</t>
        </is>
      </c>
      <c r="C10" s="40" t="inlineStr">
        <is>
          <t>Hàng chờ xử lý ngoại lệ; dữ liệu hạch toán của 20 doanh nghiệp; mở rộng bộ đề lên 500 ca</t>
        </is>
      </c>
      <c r="D10" s="40" t="inlineStr">
        <is>
          <t>Tích hợp sâu cơ sở dữ liệu kế toán; mô hình phân loại tài khoản hạch toán; audit log bảo mật</t>
        </is>
      </c>
    </row>
    <row r="11" ht="48" customHeight="1" s="33">
      <c r="A11" s="56" t="inlineStr">
        <is>
          <t>Căn cứ kinh tế (số liệu của đề và trang 2)</t>
        </is>
      </c>
      <c r="B11" s="40" t="inlineStr">
        <is>
          <t>Mức 0 biên gộp 24,45%, Mức 1 biên gộp 68,79% (chi phí 704 đ/việc); kịch bản xấu hết tiền tháng 7 nếu doanh thu bình quân giảm dưới 3,71 triệu</t>
        </is>
      </c>
      <c r="C11" s="40" t="inlineStr">
        <is>
          <t>Mức 2 chi phí giảm còn 579 đ/việc, biên gộp 74,33%; bảo đảm dòng tiền an toàn trước mốc tháng 7</t>
        </is>
      </c>
      <c r="D11" s="40" t="inlineStr">
        <is>
          <t>Mức 3 chi phí 516,5 đ/việc, biên gộp 77,10%; doanh thu bình quân ổn định ≥ 4,0 triệu/văn phòng</t>
        </is>
      </c>
    </row>
    <row r="12" ht="48" customHeight="1" s="33">
      <c r="A12" s="56" t="inlineStr">
        <is>
          <t>Điều kiện dừng / đổi hướng</t>
        </is>
      </c>
      <c r="B12" s="40" t="inlineStr">
        <is>
          <t>NẾU doanh thu bình quân dưới 3,71 triệu/văn phòng trong 2 tháng liên tiếp trên ít nhất 10 văn phòng THÌ dừng mở rộng</t>
        </is>
      </c>
      <c r="C12" s="40" t="inlineStr">
        <is>
          <t>NẾU tỷ lệ cờ thừa &gt; 25% kéo dài 2 tuần hoặc có 1 lỗi sai tiền lọt sang khách THÌ lùi về Mức 1</t>
        </is>
      </c>
      <c r="D12" s="40" t="inlineStr">
        <is>
          <t>NẾU các phần mềm kế toán lớn ra tính năng tương đương miễn phí THÌ bỏ nhận dạng chung, tập trung đối soát thuế chuyên sâu</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2" min="1" max="1"/>
    <col width="40" customWidth="1" style="32" min="2" max="3"/>
    <col width="28" customWidth="1" style="32" min="4" max="4"/>
  </cols>
  <sheetData>
    <row r="1" ht="17.25" customHeight="1" s="33">
      <c r="A1" s="34" t="inlineStr">
        <is>
          <t>4 · Lịch rà soát lộ trình</t>
        </is>
      </c>
    </row>
    <row r="2" ht="15" customHeight="1" s="33">
      <c r="A2" s="35" t="inlineStr">
        <is>
          <t>Rà soát theo lịch VÀ mỗi khi có sự kiện. Ở mốc 30/60/90 chọn 1 trong 4: đi tiếp, sửa, đổi hướng, dừng.</t>
        </is>
      </c>
    </row>
    <row r="4" ht="15" customHeight="1" s="33">
      <c r="A4" s="42" t="inlineStr">
        <is>
          <t>Mốc / sự kiện</t>
        </is>
      </c>
      <c r="B4" s="42" t="inlineStr">
        <is>
          <t>Nhìn vào chỉ số nào</t>
        </is>
      </c>
      <c r="C4" s="42" t="inlineStr">
        <is>
          <t>Quyết định có thể đưa ra</t>
        </is>
      </c>
      <c r="D4" s="42" t="inlineStr">
        <is>
          <t>Ai quyết</t>
        </is>
      </c>
    </row>
    <row r="5" ht="15" customHeight="1" s="33">
      <c r="A5" s="40" t="inlineStr">
        <is>
          <t>Ngày 30</t>
        </is>
      </c>
      <c r="B5" s="40" t="inlineStr">
        <is>
          <t>Tỷ lệ cờ thừa; tỷ lệ sai mã số thuế/tiền tuần đầu; số giờ chị Hạnh phải duyệt thực tế</t>
        </is>
      </c>
      <c r="C5" s="40" t="inlineStr">
        <is>
          <t>Đi tiếp (nếu 0 lỗi nghiêm trọng) / Sửa thuật toán gắn cờ và hạ ngưỡng nhạy</t>
        </is>
      </c>
      <c r="D5" s="40" t="inlineStr">
        <is>
          <t>Quản lý sản phẩm + Chị Hạnh</t>
        </is>
      </c>
    </row>
    <row r="6" ht="15" customHeight="1" s="33">
      <c r="A6" s="40" t="inlineStr">
        <is>
          <t>Ngày 60</t>
        </is>
      </c>
      <c r="B6" s="40" t="inlineStr">
        <is>
          <t>Cổng Mức 0 → 1: tỷ lệ đạt ≥ 97% trên 500 ca; tỷ lệ người duyệt giảm về 20%; chi phí thực tế/việc</t>
        </is>
      </c>
      <c r="C6" s="40" t="inlineStr">
        <is>
          <t>Đi tiếp (lên Mức 1) / Sửa (giữ Mức 0 và tinh chỉnh bộ đề chuẩn)</t>
        </is>
      </c>
      <c r="D6" s="40" t="inlineStr">
        <is>
          <t>Quản lý sản phẩm + Trưởng nhóm kỹ thuật</t>
        </is>
      </c>
    </row>
    <row r="7" ht="15" customHeight="1" s="33">
      <c r="A7" s="40" t="inlineStr">
        <is>
          <t>Ngày 90</t>
        </is>
      </c>
      <c r="B7" s="40" t="inlineStr">
        <is>
          <t>Doanh thu bình quân so với ngưỡng 3,71 triệu; số văn phòng dùng thường xuyên; tỷ lệ giữ chân khách lớn</t>
        </is>
      </c>
      <c r="C7" s="40" t="inlineStr">
        <is>
          <t>Đi tiếp (mở rộng kinh doanh) / Đổi hướng gói giá / Dừng theo điều kiện đề</t>
        </is>
      </c>
      <c r="D7" s="40" t="inlineStr">
        <is>
          <t>Ban lãnh đạo</t>
        </is>
      </c>
    </row>
    <row r="8" ht="15" customHeight="1" s="33">
      <c r="A8" s="40" t="inlineStr">
        <is>
          <t>Có mô hình mới / giá gọi AI giảm mạnh</t>
        </is>
      </c>
      <c r="B8" s="40" t="inlineStr">
        <is>
          <t>Chi phí gọi AI mỗi việc (so với mốc 254 đồng); độ chính xác trên bộ đề 40 ca</t>
        </is>
      </c>
      <c r="C8" s="40" t="inlineStr">
        <is>
          <t>Đổi mô hình rẻ hơn? Chạy lại bộ kiểm thử bảo đảm 0 tầng tụt trước khi đổi</t>
        </is>
      </c>
      <c r="D8" s="40" t="inlineStr">
        <is>
          <t>Quản lý sản phẩm + Trưởng nhóm kỹ thuật</t>
        </is>
      </c>
    </row>
    <row r="9" ht="15" customHeight="1" s="33">
      <c r="A9" s="40" t="inlineStr">
        <is>
          <t>Nền tảng hoặc đối thủ ra tính năng tương tự</t>
        </is>
      </c>
      <c r="B9" s="40" t="inlineStr">
        <is>
          <t>Tính năng nào bị làm thay (đọc XML hay đọc ảnh); tỷ lệ khách hàng rời bỏ</t>
        </is>
      </c>
      <c r="C9" s="40" t="inlineStr">
        <is>
          <t>Bỏ việc bị nuốt, dồn lực vào đối soát thuế chuyên sâu và gợi ý tài khoản hạch toán</t>
        </is>
      </c>
      <c r="D9" s="40" t="inlineStr">
        <is>
          <t>Ban lãnh đạo</t>
        </is>
      </c>
    </row>
    <row r="10" ht="15" customHeight="1" s="33">
      <c r="A10" s="40" t="inlineStr">
        <is>
          <t>Quy định pháp lý thay đổi</t>
        </is>
      </c>
      <c r="B10" s="40" t="inlineStr">
        <is>
          <t>Yêu cầu minh bạch và dán nhãn theo Luật Trí tuệ nhân tạo số 134/2025/QH15</t>
        </is>
      </c>
      <c r="C10" s="40" t="inlineStr">
        <is>
          <t>Cập nhật giao diện thông báo AI, bổ sung cơ chế lưu vết kiểm toán và quy trình khiếu nại</t>
        </is>
      </c>
      <c r="D10" s="40" t="inlineStr">
        <is>
          <t>Quản lý sản phẩm + Pháp chế</t>
        </is>
      </c>
    </row>
    <row r="12" ht="15" customHeight="1" s="33">
      <c r="A12" s="53" t="inlineStr">
        <is>
          <t>Ngày 90 chưa đo được giá trị vòng đời thật: khách mới dùng 3 tháng. Chỉ dùng chỉ số đã có đủ dữ liệu.</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90" customWidth="1" style="32" min="2" max="2"/>
    <col width="8" customWidth="1" style="32" min="3" max="3"/>
    <col width="12" customWidth="1" style="32" min="4" max="4"/>
  </cols>
  <sheetData>
    <row r="1" ht="17.25" customHeight="1" s="33">
      <c r="A1" s="34" t="inlineStr">
        <is>
          <t>5 · Lộ trình 1 slide cho lãnh đạo</t>
        </is>
      </c>
    </row>
    <row r="2" ht="15" customHeight="1" s="33">
      <c r="A2" s="35" t="inlineStr">
        <is>
          <t>Kết luận trước. Không quá 60 chữ mỗi ô (cột C tự đếm).</t>
        </is>
      </c>
    </row>
    <row r="3" ht="15" customHeight="1" s="33">
      <c r="C3" s="57" t="inlineStr">
        <is>
          <t>Số chữ</t>
        </is>
      </c>
      <c r="D3" s="57" t="inlineStr">
        <is>
          <t>Đạt?</t>
        </is>
      </c>
    </row>
    <row r="4" ht="33.75" customHeight="1" s="33">
      <c r="A4" s="57" t="inlineStr">
        <is>
          <t>Kết luận (1 câu)</t>
        </is>
      </c>
      <c r="B4" s="40" t="inlineStr">
        <is>
          <t>Tập trung 3 tháng đầu vào bản 2 đọc hóa đơn và đối chiếu mã số thuế để giảm 50% thời gian nhập liệu, đưa biên gộp lên 68,8% và quyết định mở rộng ở ngày 90.</t>
        </is>
      </c>
      <c r="C4" s="58">
        <f>IF(TRIM(B4)="",0,LEN(TRIM(B4))-LEN(SUBSTITUTE(TRIM(B4)," ",""))+1)</f>
        <v/>
      </c>
      <c r="D4" s="50">
        <f>IF(C4=0,"Trống",IF(C4&gt;60,"Quá 60 chữ","Đạt"))</f>
        <v/>
      </c>
    </row>
    <row r="5" ht="33.75" customHeight="1" s="33">
      <c r="A5" s="57" t="inlineStr">
        <is>
          <t>3 việc chính</t>
        </is>
      </c>
      <c r="B5" s="40" t="inlineStr">
        <is>
          <t>Bây giờ: Đọc ảnh hóa đơn bản 2, nhập tự động tệp gốc và đối chiếu mã số thuế · Tiếp theo: Tự động hóa 90% hóa đơn thường · Sau này: Gợi ý tài khoản hạch toán.</t>
        </is>
      </c>
      <c r="C5" s="58">
        <f>IF(TRIM(B5)="",0,LEN(TRIM(B5))-LEN(SUBSTITUTE(TRIM(B5)," ",""))+1)</f>
        <v/>
      </c>
      <c r="D5" s="50">
        <f>IF(C5=0,"Trống",IF(C5&gt;60,"Quá 60 chữ","Đạt"))</f>
        <v/>
      </c>
    </row>
    <row r="6" ht="33.75" customHeight="1" s="33">
      <c r="A6" s="57" t="inlineStr">
        <is>
          <t>Cần gì (người, tiền, dữ liệu)</t>
        </is>
      </c>
      <c r="B6" s="40" t="inlineStr">
        <is>
          <t>Chị Hạnh 3 giờ sáng thứ Bảy, anh Tùng chấm bộ đề; kết nối API Tổng cục Thuế; tích hợp phần mềm kế toán; ngân sách vận hành 450 triệu trong 6 tháng.</t>
        </is>
      </c>
      <c r="C6" s="58">
        <f>IF(TRIM(B6)="",0,LEN(TRIM(B6))-LEN(SUBSTITUTE(TRIM(B6)," ",""))+1)</f>
        <v/>
      </c>
      <c r="D6" s="50">
        <f>IF(C6=0,"Trống",IF(C6&gt;60,"Quá 60 chữ","Đạt"))</f>
        <v/>
      </c>
    </row>
    <row r="7" ht="33.75" customHeight="1" s="33">
      <c r="A7" s="57" t="inlineStr">
        <is>
          <t>Rủi ro lớn nhất &amp; cách xử lý</t>
        </is>
      </c>
      <c r="B7" s="40" t="inlineStr">
        <is>
          <t>Doanh thu phụ thuộc 30% văn phòng lớn (65% doanh thu) và nguy cơ hết tiền tháng 7. Xử lý: Rút ngắn Mức 0, kiểm chứng chặt ngưỡng dừng 3,71 triệu ở ngày 90.</t>
        </is>
      </c>
      <c r="C7" s="58">
        <f>IF(TRIM(B7)="",0,LEN(TRIM(B7))-LEN(SUBSTITUTE(TRIM(B7)," ",""))+1)</f>
        <v/>
      </c>
      <c r="D7" s="50">
        <f>IF(C7=0,"Trống",IF(C7&gt;60,"Quá 60 chữ","Đạt"))</f>
        <v/>
      </c>
    </row>
    <row r="8" ht="33.75" customHeight="1" s="33">
      <c r="A8" s="57" t="inlineStr">
        <is>
          <t>Khi nào xem lại</t>
        </is>
      </c>
      <c r="B8" s="40" t="inlineStr">
        <is>
          <t>Rà soát ngày 30, 60, 90; rà soát ngay khi mô hình mới giảm giá hoặc phần mềm kế toán đối thủ tích hợp tính năng đọc hóa đơn miễn phí.</t>
        </is>
      </c>
      <c r="C8" s="58">
        <f>IF(TRIM(B8)="",0,LEN(TRIM(B8))-LEN(SUBSTITUTE(TRIM(B8)," ",""))+1)</f>
        <v/>
      </c>
      <c r="D8" s="50">
        <f>IF(C8=0,"Trống",IF(C8&gt;60,"Quá 60 chữ","Đạt"))</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6" customWidth="1" style="32" min="1" max="1"/>
    <col width="14" customWidth="1" style="32" min="2" max="3"/>
  </cols>
  <sheetData>
    <row r="1" ht="17.25" customHeight="1" s="33">
      <c r="A1" s="34" t="inlineStr">
        <is>
          <t>6 · Tự kiểm tra</t>
        </is>
      </c>
    </row>
    <row r="2" ht="15" customHeight="1" s="33">
      <c r="A2" s="35" t="inlineStr">
        <is>
          <t>Chưa 'Đạt' thì quay lại sửa trước khi nộp file.</t>
        </is>
      </c>
    </row>
    <row r="4" ht="15" customHeight="1" s="33">
      <c r="A4" s="42" t="inlineStr">
        <is>
          <t>Điểm kiểm tra</t>
        </is>
      </c>
      <c r="B4" s="42" t="inlineStr">
        <is>
          <t>Kết quả</t>
        </is>
      </c>
      <c r="C4" s="42" t="inlineStr">
        <is>
          <t>Đạt?</t>
        </is>
      </c>
    </row>
    <row r="5" ht="15" customHeight="1" s="33">
      <c r="A5" s="43" t="inlineStr">
        <is>
          <t>Số việc đã chấm điểm (cần ≥ 5)</t>
        </is>
      </c>
      <c r="B5" s="44">
        <f>COUNT('1_Danh sách việc'!M5:M14)</f>
        <v/>
      </c>
      <c r="C5" s="44">
        <f>IF(B5&gt;=5,"Đạt","Xem lại")</f>
        <v/>
      </c>
    </row>
    <row r="6" ht="15" customHeight="1" s="33">
      <c r="A6" s="43" t="inlineStr">
        <is>
          <t>Việc được giữ lại mà thiếu giả thuyết hoặc chỉ số có con số (cần = 0)</t>
        </is>
      </c>
      <c r="B6" s="44">
        <f>COUNTIFS('1_Danh sách việc'!O5:O14,"Thiếu",'1_Danh sách việc'!P5:P14,"&lt;&gt;Không làm")</f>
        <v/>
      </c>
      <c r="C6" s="44">
        <f>IF(B5=0,"",IF(B6=0,"Đạt","Xem lại"))</f>
        <v/>
      </c>
    </row>
    <row r="7" ht="15" customHeight="1" s="33">
      <c r="A7" s="43" t="inlineStr">
        <is>
          <t>Số mức tự động có cổng đánh giá kèm con số (cần ≥ 2, không tính Mức 0)</t>
        </is>
      </c>
      <c r="B7" s="44">
        <f>COUNTIF('2_Mức tự động'!M6:M8,"Có")</f>
        <v/>
      </c>
      <c r="C7" s="44">
        <f>IF(B7&gt;=2,"Đạt","Xem lại")</f>
        <v/>
      </c>
    </row>
    <row r="8" ht="15" customHeight="1" s="33">
      <c r="A8" s="43" t="inlineStr">
        <is>
          <t>Bảng lộ trình: số ô tầng 'Bây giờ' đã điền (cần 8/8)</t>
        </is>
      </c>
      <c r="B8" s="44">
        <f>COUNTA('3_Bảng lộ trình'!B5:B12)</f>
        <v/>
      </c>
      <c r="C8" s="44">
        <f>IF(B8=8,"Đạt","Xem lại")</f>
        <v/>
      </c>
    </row>
    <row r="9" ht="15" customHeight="1" s="33">
      <c r="A9" s="43" t="inlineStr">
        <is>
          <t>Điều kiện dừng tầng 'Bây giờ' có con số</t>
        </is>
      </c>
      <c r="B9" s="44">
        <f>IF(AND(LEN('3_Bảng lộ trình'!B12)&gt;10,SUMPRODUCT(--ISNUMBER(SEARCH({"0","1","2","3","4","5","6","7","8","9"},'3_Bảng lộ trình'!B12)))&gt;0),"Có","Chưa")</f>
        <v/>
      </c>
      <c r="C9" s="44">
        <f>IF(B9="Có","Đạt","Xem lại")</f>
        <v/>
      </c>
    </row>
    <row r="10" ht="15" customHeight="1" s="33">
      <c r="A10" s="43" t="inlineStr">
        <is>
          <t>Căn cứ kinh tế có con số (từ số liệu của đề)</t>
        </is>
      </c>
      <c r="B10" s="44">
        <f>IF(AND(LEN('3_Bảng lộ trình'!B11)&gt;10,SUMPRODUCT(--ISNUMBER(SEARCH({"0","1","2","3","4","5","6","7","8","9"},'3_Bảng lộ trình'!B11)))&gt;0),"Có","Chưa")</f>
        <v/>
      </c>
      <c r="C10" s="44">
        <f>IF(B10="Có","Đạt","Xem lại")</f>
        <v/>
      </c>
    </row>
    <row r="11" ht="15" customHeight="1" s="33">
      <c r="A11" s="43" t="inlineStr">
        <is>
          <t>Slide lãnh đạo: số ô đạt (đủ chữ, không quá 60 chữ; cần 5)</t>
        </is>
      </c>
      <c r="B11" s="44">
        <f>COUNTIF('5_Slide lãnh đạo'!D4:D8,"Đạt")</f>
        <v/>
      </c>
      <c r="C11" s="44">
        <f>IF(B11=5,"Đạt","Xem lại")</f>
        <v/>
      </c>
    </row>
    <row r="12" ht="15" customHeight="1" s="33">
      <c r="A12" s="43" t="inlineStr">
        <is>
          <t>Số mức tự động có biên lợi nhuận ≥ 60% (cần ≥ 1)</t>
        </is>
      </c>
      <c r="B12" s="44">
        <f>COUNTIF('2_Mức tự động'!L5:L8,"Đạt")</f>
        <v/>
      </c>
      <c r="C12" s="44">
        <f>IF(B12&gt;=1,"Đạt","Xem lại")</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30" customWidth="1" style="32" min="2" max="2"/>
    <col width="80" customWidth="1" style="32" min="3" max="3"/>
    <col width="40" customWidth="1" style="32" min="4" max="4"/>
  </cols>
  <sheetData>
    <row r="1" ht="17.25" customHeight="1" s="33">
      <c r="A1" s="34" t="inlineStr">
        <is>
          <t>7 · Thang điểm sản phẩm (100 điểm)</t>
        </is>
      </c>
    </row>
    <row r="2" ht="15" customHeight="1" s="33">
      <c r="A2" s="35" t="n"/>
    </row>
    <row r="4" ht="15" customHeight="1" s="33">
      <c r="A4" s="42" t="inlineStr">
        <is>
          <t>Tiêu chí</t>
        </is>
      </c>
      <c r="B4" s="42" t="inlineStr">
        <is>
          <t>Điểm</t>
        </is>
      </c>
      <c r="C4" s="42" t="inlineStr">
        <is>
          <t>Bài đạt khi</t>
        </is>
      </c>
      <c r="D4" s="42" t="inlineStr">
        <is>
          <t>Điểm nhóm</t>
        </is>
      </c>
    </row>
    <row r="5" ht="15" customHeight="1" s="33">
      <c r="A5" s="43" t="inlineStr">
        <is>
          <t>Theo kết quả và giả thuyết</t>
        </is>
      </c>
      <c r="B5" s="32" t="n">
        <v>20</v>
      </c>
      <c r="C5" s="59" t="inlineStr">
        <is>
          <t>Mỗi việc có giả thuyết, chỉ số và ngưỡng, không chỉ là tên tính năng</t>
        </is>
      </c>
      <c r="D5" s="60" t="n"/>
    </row>
    <row r="6" ht="15" customHeight="1" s="33">
      <c r="A6" s="43" t="inlineStr">
        <is>
          <t>Ưu tiên có căn cứ</t>
        </is>
      </c>
      <c r="B6" s="32" t="n">
        <v>20</v>
      </c>
      <c r="C6" s="59" t="inlineStr">
        <is>
          <t>Bảng điểm ≥ 5 việc; có sẵn sàng dữ liệu, đánh giá và rủi ro bị nuốt; dùng số liệu kinh tế của đề; đổi thứ tự hoặc bỏ việc thì ghi lý do</t>
        </is>
      </c>
      <c r="D6" s="60" t="n"/>
    </row>
    <row r="7" ht="15" customHeight="1" s="33">
      <c r="A7" s="43" t="inlineStr">
        <is>
          <t>Mức tự động và cổng đánh giá</t>
        </is>
      </c>
      <c r="B7" s="32" t="n">
        <v>25</v>
      </c>
      <c r="C7" s="59" t="inlineStr">
        <is>
          <t>≥ 2 mức có cổng bằng con số (chỉ số, ngưỡng, cỡ mẫu); có vai trò của người; có chi phí mỗi việc theo mức</t>
        </is>
      </c>
      <c r="D7" s="60" t="n"/>
    </row>
    <row r="8" ht="15" customHeight="1" s="33">
      <c r="A8" s="43" t="inlineStr">
        <is>
          <t>Điều kiện cần và rủi ro</t>
        </is>
      </c>
      <c r="B8" s="32" t="n">
        <v>15</v>
      </c>
      <c r="C8" s="59" t="inlineStr">
        <is>
          <t>Nêu dữ liệu, hạ tầng, tuân thủ; điều kiện dừng đo được với quy mô thử nghiệm; có lịch rà soát</t>
        </is>
      </c>
      <c r="D8" s="60" t="n"/>
    </row>
    <row r="9" ht="15" customHeight="1" s="33">
      <c r="A9" s="43" t="inlineStr">
        <is>
          <t>Slide lãnh đạo</t>
        </is>
      </c>
      <c r="B9" s="32" t="n">
        <v>20</v>
      </c>
      <c r="C9" s="59" t="inlineStr">
        <is>
          <t>Kết luận trước, ≤ 60 chữ mỗi ô, trả lời được "cần gì" và "khi nào xem lại"</t>
        </is>
      </c>
      <c r="D9" s="60" t="n"/>
    </row>
    <row r="10" ht="15" customHeight="1" s="33">
      <c r="A10" s="41" t="inlineStr">
        <is>
          <t>TỔNG</t>
        </is>
      </c>
      <c r="B10" s="32">
        <f>SUM(B5:B9)</f>
        <v/>
      </c>
      <c r="D10" s="44">
        <f>SUM(D5:D9)</f>
        <v/>
      </c>
    </row>
    <row r="12" ht="15" customHeight="1" s="33">
      <c r="A12" s="41" t="n"/>
      <c r="D12" s="60" t="n"/>
    </row>
    <row r="15" ht="15" customHeight="1" s="33">
      <c r="A15" s="61" t="inlineStr">
        <is>
          <t>THANG ĐIỂM TRÌNH BÀY (1–5 điểm mỗi tiêu chí)</t>
        </is>
      </c>
    </row>
    <row r="16" ht="15" customHeight="1" s="33">
      <c r="A16" s="42" t="inlineStr">
        <is>
          <t>Tiêu chí</t>
        </is>
      </c>
      <c r="B16" s="42" t="inlineStr">
        <is>
          <t>Mức 1</t>
        </is>
      </c>
      <c r="C16" s="42" t="inlineStr">
        <is>
          <t>Mức 3</t>
        </is>
      </c>
      <c r="D16" s="42" t="inlineStr">
        <is>
          <t>Mức 5</t>
        </is>
      </c>
    </row>
    <row r="17" ht="45.75" customHeight="1" s="33">
      <c r="A17" s="62" t="inlineStr">
        <is>
          <t>Rõ ràng</t>
        </is>
      </c>
      <c r="B17" s="63" t="inlineStr">
        <is>
          <t>Câu đầu chưa có kết luận; người nghe phải đoán nhóm làm gì trước</t>
        </is>
      </c>
      <c r="C17" s="63" t="inlineStr">
        <is>
          <t>Có kết luận nhưng nói sau phần mở đầu, hoặc thiếu mốc quyết định</t>
        </is>
      </c>
      <c r="D17" s="63" t="inlineStr">
        <is>
          <t>Câu đầu có việc làm trước, mục tiêu bằng số và ngày quyết định</t>
        </is>
      </c>
    </row>
    <row r="18" ht="45.75" customHeight="1" s="33">
      <c r="A18" s="62" t="inlineStr">
        <is>
          <t>Bằng chứng</t>
        </is>
      </c>
      <c r="B18" s="63" t="inlineStr">
        <is>
          <t>Không có cổng đánh giá, hoặc số không có nguồn</t>
        </is>
      </c>
      <c r="C18" s="63" t="inlineStr">
        <is>
          <t>Có cổng nhưng thiếu cỡ mẫu hoặc căn cứ kinh tế</t>
        </is>
      </c>
      <c r="D18" s="63" t="inlineStr">
        <is>
          <t>Cổng đủ chỉ số, ngưỡng, cỡ mẫu; căn cứ kinh tế lấy từ số liệu của đề</t>
        </is>
      </c>
    </row>
    <row r="19" ht="45.75" customHeight="1" s="33">
      <c r="A19" s="62" t="inlineStr">
        <is>
          <t>Trả lời phản biện</t>
        </is>
      </c>
      <c r="B19" s="63" t="inlineStr">
        <is>
          <t>Né câu hỏi hoặc trả lời chung chung</t>
        </is>
      </c>
      <c r="C19" s="63" t="inlineStr">
        <is>
          <t>Trả lời đúng ý nhưng không dẫn số</t>
        </is>
      </c>
      <c r="D19" s="63" t="inlineStr">
        <is>
          <t>Trả lời thẳng, dẫn đúng con số trong file</t>
        </is>
      </c>
    </row>
    <row r="20" ht="45.75" customHeight="1" s="33">
      <c r="A20" s="62" t="inlineStr">
        <is>
          <t>Đúng giờ</t>
        </is>
      </c>
      <c r="B20" s="63" t="inlineStr">
        <is>
          <t>Quá 4 phút</t>
        </is>
      </c>
      <c r="C20" s="63" t="inlineStr">
        <is>
          <t>Từ 3 đến 4 phút</t>
        </is>
      </c>
      <c r="D20" s="63" t="inlineStr">
        <is>
          <t>Không quá 3 phút</t>
        </is>
      </c>
    </row>
    <row r="22" ht="15" customHeight="1" s="33">
      <c r="A22" s="53" t="inlineStr">
        <is>
          <t>Mức 2 và 4 dùng khi bài nằm giữa hai mô tả. Bản chuẩn của buổi học không có phần trình bày trên lớp: điểm buổi = thang sản phẩm 100 điểm ở trên. Thang trình bày chỉ dùng khi giảng viên tổ chức trình bày.</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2026-10-04T05:24:07Z</dcterms:created>
  <dcterms:modified xmlns:dcterms="http://purl.org/dc/terms/" xmlns:xsi="http://www.w3.org/2001/XMLSchema-instance" xsi:type="dcterms:W3CDTF">2026-10-16T09:37:21Z</dcterms:modified>
  <cp:revision>0</cp:revision>
</cp:coreProperties>
</file>