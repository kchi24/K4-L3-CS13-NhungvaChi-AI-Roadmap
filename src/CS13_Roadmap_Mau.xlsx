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<sst xmlns="http://schemas.openxmlformats.org/spreadsheetml/2006/main" count="305" uniqueCount="280">
  <si>
    <t xml:space="preserve">CS13 · Lộ trình sản phẩm AI — File thực hành</t>
  </si>
  <si>
    <t xml:space="preserve">AI in Action · Track 1 · Khóa 4. BẢN MẪU ĐÃ ĐIỀN: trợ lý AI trả lời tin nhắn Zalo cho cửa hàng thời trang nhỏ. Đây là một sản phẩm khác với 3 đề; chỉ dùng để xem cách điền, không chép số.</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</si>
  <si>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</si>
  <si>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</si>
  <si>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bản mẫu nằm ở trang 2, dòng 12–20. Ở file của nhóm, các dòng này đã điền sẵn theo đề.</t>
  </si>
  <si>
    <t xml:space="preserve">Lộ trình theo GIẢ THUYẾT: mỗi hạng mục phải trả lời 'Ta tin rằng làm X sẽ giúp Y đạt Z; biết đúng khi chỉ số W đạt ngưỡng V'.</t>
  </si>
  <si>
    <t xml:space="preserve">Đây là file mẫu, không nộp.</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</si>
  <si>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</si>
  <si>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</si>
  <si>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</si>
  <si>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</si>
  <si>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(5 phút)</t>
  </si>
  <si>
    <t xml:space="preserve">Ở file của nhóm, trang này là danh sách các mục cần đọc trong hồ sơ tình huống. Bản mẫu điền sẵn "Có".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</si>
  <si>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</si>
  <si>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</si>
  <si>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</si>
  <si>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</si>
  <si>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</si>
  <si>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</si>
  <si>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Có</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</si>
  <si>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</si>
  <si>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</si>
  <si>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</si>
  <si>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</si>
  <si>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</si>
  <si>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</si>
  <si>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</si>
  <si>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</si>
  <si>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</si>
  <si>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</si>
  <si>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</si>
  <si>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</si>
  <si>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</si>
  <si>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</si>
  <si>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</si>
  <si>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</si>
  <si>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</si>
  <si>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</si>
  <si>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</si>
  <si>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</si>
  <si>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</si>
  <si>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</si>
  <si>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</si>
  <si>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</si>
  <si>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</si>
  <si>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</si>
  <si>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</si>
  <si>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</si>
  <si>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</si>
  <si>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</si>
  <si>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</si>
  <si>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</si>
  <si>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</si>
  <si>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</si>
  <si>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</si>
  <si>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</si>
  <si>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</si>
  <si>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</si>
  <si>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Tự trả lời câu hỏi giá, tồn kho</t>
  </si>
  <si>
    <t xml:space="preserve">Giảm 50% tin nhắn chủ cửa hàng phải tự trả lời</t>
  </si>
  <si>
    <t xml:space="preserve">Khách hỏi giá, tồn kho chiếm hơn 50% tin nhắn; AI trả lời đúng sẽ giải phóng thời gian chủ cửa hàng</t>
  </si>
  <si>
    <t xml:space="preserve">Tỷ lệ tin AI xử lý không cần người ≥ 50%; sai &lt; 3%</t>
  </si>
  <si>
    <t xml:space="preserve">Tự làm</t>
  </si>
  <si>
    <t xml:space="preserve">Dữ liệu giá, tồn kho riêng của từng cửa hàng: khó bị nuốt</t>
  </si>
  <si>
    <t xml:space="preserve">Gợi ý câu trả lời cho nhân viên duyệt</t>
  </si>
  <si>
    <t xml:space="preserve">Nhân viên trả lời nhanh gấp 2</t>
  </si>
  <si>
    <t xml:space="preserve">Có người duyệt thì chủ cửa hàng tin dùng sớm hơn</t>
  </si>
  <si>
    <t xml:space="preserve">Thời gian phản hồi trung bình giảm 50%; tỷ lệ nhân viên sửa &lt; 30%</t>
  </si>
  <si>
    <t xml:space="preserve">Hạng 1: công sức thấp, mức tự tin cao</t>
  </si>
  <si>
    <t xml:space="preserve">Chốt đơn tự động trong hội thoại</t>
  </si>
  <si>
    <t xml:space="preserve">Tăng tỷ lệ chuyển đổi tin nhắn → đơn</t>
  </si>
  <si>
    <t xml:space="preserve">Chốt đơn ngay khi khách còn hứng sẽ tăng đơn</t>
  </si>
  <si>
    <t xml:space="preserve">Chuyển đổi tăng ≥ 20% so với nhóm đối chứng</t>
  </si>
  <si>
    <t xml:space="preserve">Chờ</t>
  </si>
  <si>
    <t xml:space="preserve">Hạng 6. Chờ: cần Mức 2 ổn định và tích hợp kho, đơn hàng</t>
  </si>
  <si>
    <t xml:space="preserve">Tóm tắt hội thoại cuối ngày cho chủ cửa hàng</t>
  </si>
  <si>
    <t xml:space="preserve">Chủ cửa hàng nắm tình hình trong 2 phút</t>
  </si>
  <si>
    <t xml:space="preserve">Chủ cửa hàng cần biết khách phàn nàn gì</t>
  </si>
  <si>
    <t xml:space="preserve">≥ 60% chủ cửa hàng mở bản tóm tắt hằng tuần</t>
  </si>
  <si>
    <t xml:space="preserve">Mua</t>
  </si>
  <si>
    <t xml:space="preserve">Hạng 4 nhưng không đưa vào lộ trình: rủi ro bị nuốt 0,8 — dùng tính năng tóm tắt có sẵn của mô hình nền</t>
  </si>
  <si>
    <t xml:space="preserve">Trợ lý trò chuyện trả lời mọi câu hỏi chung (không giới hạn chủ đề)</t>
  </si>
  <si>
    <t xml:space="preserve">Tăng độ hài lòng</t>
  </si>
  <si>
    <t xml:space="preserve">Khách thích hỏi gì cũng được</t>
  </si>
  <si>
    <t xml:space="preserve">Điểm hài lòng tăng</t>
  </si>
  <si>
    <t xml:space="preserve">Không làm</t>
  </si>
  <si>
    <t xml:space="preserve">Ví dụ xấu cố tình để lại: chỉ số không có ngưỡng, rủi ro bị nuốt 0,9</t>
  </si>
  <si>
    <t xml:space="preserve">Gửi tin chăm sóc lại khách cũ (qua Zalo ZNS)</t>
  </si>
  <si>
    <t xml:space="preserve">Tăng mua lặp lại</t>
  </si>
  <si>
    <t xml:space="preserve">Nhắc đúng lúc sẽ kéo khách quay lại</t>
  </si>
  <si>
    <t xml:space="preserve">Mua lặp lại trong 30 ngày tăng ≥ 10%</t>
  </si>
  <si>
    <t xml:space="preserve">Hạng 5, để tầng Sau này: cần dữ liệu mua hàng và tuân thủ quy định gửi tin</t>
  </si>
  <si>
    <t xml:space="preserve">Kiểm chứng phí vượt hạn mức với khách dùng nhiều</t>
  </si>
  <si>
    <t xml:space="preserve">Biết cửa hàng đông khách có chịu trả phí vượt không</t>
  </si>
  <si>
    <t xml:space="preserve">Ta tin rằng cửa hàng đông khách chịu trả 1.500 đ/hội thoại vượt hạn mức vì vẫn rẻ hơn thuê người trực</t>
  </si>
  <si>
    <t xml:space="preserve">≥ 50% cửa hàng vượt 300 việc/tháng trả phí vượt; doanh thu bình quân ≥ 951 nghìn</t>
  </si>
  <si>
    <t xml:space="preserve">Thêm việc: kiểm chứng biến nguy hiểm nhất (doanh thu từ khách dùng nhiều). Không cần xây thêm</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</si>
  <si>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</si>
  <si>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</si>
  <si>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</si>
  <si>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</si>
  <si>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</si>
  <si>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</si>
  <si>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</si>
  <si>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</si>
  <si>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</si>
  <si>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</si>
  <si>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</si>
  <si>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</si>
  <si>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</si>
  <si>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</si>
  <si>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</si>
  <si>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</si>
  <si>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AI soạn sẵn câu trả lời</t>
  </si>
  <si>
    <t xml:space="preserve">Người của mình (đội vận hành) đọc, sửa, bấm gửi</t>
  </si>
  <si>
    <t xml:space="preserve">— (mức khởi đầu)</t>
  </si>
  <si>
    <t xml:space="preserve">Kết nối Zalo OA; kho câu hỏi giá, tồn kho; báo cho khách biết đang trò chuyện với AI</t>
  </si>
  <si>
    <t xml:space="preserve">T1–T2</t>
  </si>
  <si>
    <t xml:space="preserve">Người của mình</t>
  </si>
  <si>
    <t xml:space="preserve">Hỗ trợ có duyệt</t>
  </si>
  <si>
    <t xml:space="preserve">AI tự gửi câu hỏi giá/tồn kho; câu khác vẫn chờ duyệt</t>
  </si>
  <si>
    <t xml:space="preserve">Duyệt mẫu 20% + mọi ca AI không chắc</t>
  </si>
  <si>
    <t xml:space="preserve">Tỷ lệ nhân viên sửa &lt; 15% trên ≥ 500 hội thoại; sai giá = 0 (chứng minh tỷ lệ sai giá dưới 0,6%)</t>
  </si>
  <si>
    <t xml:space="preserve">Bộ đề chuẩn 200 ca; nhật ký và bảng giám sát</t>
  </si>
  <si>
    <t xml:space="preserve">T3–T4</t>
  </si>
  <si>
    <t xml:space="preserve">Tự động một phần</t>
  </si>
  <si>
    <t xml:space="preserve">AI tự xử lý 3 nhóm câu hỏi; tự chuyển người khi khó</t>
  </si>
  <si>
    <t xml:space="preserve">Xử lý ca chuyển lên; kiểm tra ngẫu nhiên 5%</t>
  </si>
  <si>
    <t xml:space="preserve">Đúng ≥ 97% trên ≥ 500 ca của bộ đề; khiếu nại &lt; 1%; chuyển người đúng lúc ≥ 95%</t>
  </si>
  <si>
    <t xml:space="preserve">Hàng chờ người duyệt; quy trình xử lý khiếu nại; đồng ý xử lý dữ liệu khách; bộ đề chuẩn lên 500 ca</t>
  </si>
  <si>
    <t xml:space="preserve">T5–T7</t>
  </si>
  <si>
    <t xml:space="preserve">Tự động có giám sát</t>
  </si>
  <si>
    <t xml:space="preserve">AI tự chốt đơn đơn giản</t>
  </si>
  <si>
    <t xml:space="preserve">Theo dõi bảng giám sát, xử lý ngoại lệ</t>
  </si>
  <si>
    <t xml:space="preserve">Chuyển đổi tăng ≥ 20% so với nhóm đối chứng; hoàn, huỷ đơn không tăng</t>
  </si>
  <si>
    <t xml:space="preserve">Tích hợp kho và đơn hàng; lưu vết để tra lại</t>
  </si>
  <si>
    <t xml:space="preserve">T8+</t>
  </si>
  <si>
    <t xml:space="preserve">SỐ LIỆU KINH TẾ CỦA ĐỀ (đã điền sẵn từ hồ sơ tình huống; sửa được nếu nhóm có lý do)</t>
  </si>
  <si>
    <t xml:space="preserve">Chi phí gọi AI / việc (đã tính gọi lại)</t>
  </si>
  <si>
    <t xml:space="preserve">Số liệu của bản mẫu</t>
  </si>
  <si>
    <t xml:space="preserve">Hạ tầng + đánh giá + khác / việc</t>
  </si>
  <si>
    <t xml:space="preserve">Số phút người duyệt / việc</t>
  </si>
  <si>
    <t xml:space="preserve">Chi phí 1 giờ người duyệt (đ)</t>
  </si>
  <si>
    <t xml:space="preserve">Doanh thu bình quân / khách / tháng (đ)</t>
  </si>
  <si>
    <t xml:space="preserve">Số việc bình quân / khách / tháng</t>
  </si>
  <si>
    <t xml:space="preserve">Biến nguy hiểm nhất</t>
  </si>
  <si>
    <t xml:space="preserve">Doanh thu bình quân (62% đến từ khách dùng nhiều)</t>
  </si>
  <si>
    <t xml:space="preserve">Điều kiện dừng đã chọn (theo đề)</t>
  </si>
  <si>
    <t xml:space="preserve">Hết tháng 3, doanh thu bình quân &lt; 951 nghìn/cửa hàng</t>
  </si>
  <si>
    <t xml:space="preserve">Kịch bản xấu hết tiền ở tháng</t>
  </si>
  <si>
    <t xml:space="preserve">Ghi chú: Mức 1 trong bản mẫu = 20% duyệt mẫu + ước 5% ca AI không chắc. Mức 2 = 10%.</t>
  </si>
  <si>
    <t xml:space="preserve">Nếu người duyệt là nhân viên cửa hàng: chi phí của mình không tăng, nhưng cửa hàng vẫn phải giữ người trực — đúng thứ gói giá hứa thay thế. Ghi rủi ro này vào bảng lộ trình.</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</si>
  <si>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</si>
  <si>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</si>
  <si>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</si>
  <si>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</si>
  <si>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</si>
  <si>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</si>
  <si>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</si>
  <si>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Gợi ý câu trả lời (hạng 1) + tự trả lời giá, tồn kho (hạng 2) + kiểm chứng phí vượt hạn mức (hạng 3)</t>
  </si>
  <si>
    <t xml:space="preserve">Tự động một phần: AI tự xử lý 3 nhóm câu hỏi, tự chuyển người khi khó</t>
  </si>
  <si>
    <t xml:space="preserve">Chăm sóc lại khách cũ (hạng 5); thử chốt đơn tự động (hạng 6). Không làm tóm tắt cuối ngày: rủi ro bị nuốt 0,8</t>
  </si>
  <si>
    <t xml:space="preserve">Giả thuyết</t>
  </si>
  <si>
    <t xml:space="preserve">Giải phóng thời gian chủ cửa hàng thì họ trả tiền đều; cửa hàng đông khách chịu trả phí vượt</t>
  </si>
  <si>
    <t xml:space="preserve">Có người duyệt → tin dùng nhanh → nâng mức tự động</t>
  </si>
  <si>
    <t xml:space="preserve">Nhắc đúng lúc kéo khách quay lại</t>
  </si>
  <si>
    <t xml:space="preserve">AI xử lý ≥ 50% tin giá, tồn kho; nhân viên sửa &lt; 15%; doanh thu bình quân ≥ 951 nghìn</t>
  </si>
  <si>
    <t xml:space="preserve">Chuyển người đúng lúc ≥ 95%; khiếu nại &lt; 1%</t>
  </si>
  <si>
    <t xml:space="preserve">Mức tự động (trang 2)</t>
  </si>
  <si>
    <t xml:space="preserve">Mức 0 → 1</t>
  </si>
  <si>
    <t xml:space="preserve">Mức 2</t>
  </si>
  <si>
    <t xml:space="preserve">Mức 2 cho chăm sóc lại; thử Mức 3 cho chốt đơn</t>
  </si>
  <si>
    <t xml:space="preserve">Cổng đánh giá</t>
  </si>
  <si>
    <t xml:space="preserve">≥ 500 hội thoại; nhân viên sửa &lt; 15%; sai giá = 0</t>
  </si>
  <si>
    <t xml:space="preserve">Đúng ≥ 97% trên ≥ 500 ca của bộ đề</t>
  </si>
  <si>
    <t xml:space="preserve">So sánh với nhóm không dùng (đối chứng)</t>
  </si>
  <si>
    <t xml:space="preserve">Điều kiện cần: dữ liệu / hạ tầng / tuân thủ</t>
  </si>
  <si>
    <t xml:space="preserve">Kết nối Zalo OA; kho giá, tồn kho; bộ đề chuẩn 200 ca; báo khách đang trò chuyện với AI</t>
  </si>
  <si>
    <t xml:space="preserve">Hàng chờ người duyệt; đồng ý xử lý dữ liệu; bộ đề chuẩn 500 ca</t>
  </si>
  <si>
    <t xml:space="preserve">Tích hợp kho và đơn hàng; kiểm tra quy định gửi tin nhắn quảng cáo hiện hành</t>
  </si>
  <si>
    <t xml:space="preserve">Căn cứ kinh tế (số liệu của đề và trang 2)</t>
  </si>
  <si>
    <t xml:space="preserve">Mức 0 lỗ trên từng việc, Mức 1 biên 59% (trang 2); kịch bản xấu hết tiền tháng 10 → chỉ thử 30 cửa hàng, rút ngắn Mức 0</t>
  </si>
  <si>
    <t xml:space="preserve">Mở rộng khi lên Mức 2 (biên 74%) và doanh thu bình quân ≥ 951 nghìn</t>
  </si>
  <si>
    <t xml:space="preserve">Chỉ làm nếu tầng Tiếp theo giữ biên lợi nhuận ≥ 60%</t>
  </si>
  <si>
    <t xml:space="preserve">Điều kiện dừng / đổi hướng</t>
  </si>
  <si>
    <t xml:space="preserve">Hết tháng 3: doanh thu bình quân &lt; 951 nghìn/cửa hàng hoặc AI xử lý &lt; 30% → dừng mở rộng, thiết kế lại gói giá</t>
  </si>
  <si>
    <t xml:space="preserve">Khiếu nại &gt; 2% → lùi về Mức 1</t>
  </si>
  <si>
    <t xml:space="preserve">Zalo hoặc đối thủ ra tính năng tương tự miễn phí → bỏ, tập trung chốt đơn</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</si>
  <si>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</si>
  <si>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</si>
  <si>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</si>
  <si>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</si>
  <si>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</si>
  <si>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</si>
  <si>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</si>
  <si>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Tỷ lệ AI xử lý; tỷ lệ nhân viên sửa; số cửa hàng vượt hạn mức</t>
  </si>
  <si>
    <t xml:space="preserve">Đi tiếp / Sửa (hướng dẫn sử dụng)</t>
  </si>
  <si>
    <t xml:space="preserve">Quản lý sản phẩm + chủ sản phẩm</t>
  </si>
  <si>
    <t xml:space="preserve">Ngày 60</t>
  </si>
  <si>
    <t xml:space="preserve">Cổng Mức 0 → 1: sửa &lt; 15% trên ≥ 500 hội thoại, sai giá = 0; chi phí có khách thực tế</t>
  </si>
  <si>
    <t xml:space="preserve">Đi tiếp (lên Mức 1) / Sửa (giữ Mức 0)</t>
  </si>
  <si>
    <t xml:space="preserve">Quản lý sản phẩm + trưởng nhóm kỹ thuật</t>
  </si>
  <si>
    <t xml:space="preserve">Ngày 90</t>
  </si>
  <si>
    <t xml:space="preserve">Doanh thu bình quân so với 951 nghìn; tỷ lệ cửa hàng chịu trả phí vượt; tỷ lệ AI xử lý</t>
  </si>
  <si>
    <t xml:space="preserve">Đi tiếp (mở rộng) / Đổi hướng / Dừng</t>
  </si>
  <si>
    <t xml:space="preserve">Ban lãnh đạo</t>
  </si>
  <si>
    <t xml:space="preserve">Có mô hình mới / giá gọi AI giảm mạnh</t>
  </si>
  <si>
    <t xml:space="preserve">Chạy lại bộ đề chuẩn; tính lại chi phí mỗi việc</t>
  </si>
  <si>
    <t xml:space="preserve">Đổi mô hình? Hạ giá? Lên mức tự động sớm hơn?</t>
  </si>
  <si>
    <t xml:space="preserve">Nền tảng hoặc đối thủ ra tính năng tương tự</t>
  </si>
  <si>
    <t xml:space="preserve">Việc nào bị 'nuốt'</t>
  </si>
  <si>
    <t xml:space="preserve">Bỏ việc bị nuốt, dồn lực vào phần khác biệt</t>
  </si>
  <si>
    <t xml:space="preserve">Quy định pháp lý thay đổi</t>
  </si>
  <si>
    <t xml:space="preserve">Mức rủi ro của hệ thống theo Luật Trí tuệ nhân tạo</t>
  </si>
  <si>
    <t xml:space="preserve">Thêm biện pháp kiểm soát và bằng chứng</t>
  </si>
  <si>
    <t xml:space="preserve">Quản lý sản phẩm + pháp chế</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</si>
  <si>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</si>
  <si>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</si>
  <si>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</si>
  <si>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</si>
  <si>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</si>
  <si>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</si>
  <si>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Thử nghiệm 3 tháng với 30 cửa hàng: AI tự xử lý ≥ 50% tin nhắn giá, tồn kho và kiểm chứng phí vượt hạn mức; quyết định mở rộng ở ngày 90.</t>
  </si>
  <si>
    <t xml:space="preserve">3 việc chính</t>
  </si>
  <si>
    <t xml:space="preserve">Bây giờ: gợi ý + tự trả lời giá, tồn kho + kiểm chứng phí vượt · Tiếp theo: tự động một phần có chuyển người · Sau này: chăm sóc lại khách cũ</t>
  </si>
  <si>
    <t xml:space="preserve">Cần gì (người, tiền, dữ liệu)</t>
  </si>
  <si>
    <t xml:space="preserve">3 lập trình viên + 1 quản lý sản phẩm; 600 triệu xây dựng; kết nối Zalo OA và kho hàng của cửa hàng</t>
  </si>
  <si>
    <t xml:space="preserve">Rủi ro lớn nhất &amp; cách xử lý</t>
  </si>
  <si>
    <t xml:space="preserve">Khách dùng nhiều không chịu trả phí vượt (62% doanh thu) → kiểm chứng ngay trong 3 tháng đầu; Mức 0–1 biên thấp → rút ngắn, chỉ thử 30 cửa hàng</t>
  </si>
  <si>
    <t xml:space="preserve">Khi nào xem lại</t>
  </si>
  <si>
    <t xml:space="preserve">Ngày 30/60/90 và khi có mô hình mới hoặc đối thủ ra tính năng tương tự</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</si>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</sst>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fals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33.75" hidden="false" customHeight="true" outlineLevel="0" collapsed="false">
      <c r="A5" s="7" t="s">
        <v>18</v>
      </c>
      <c r="B5" s="8" t="s">
        <v>19</v>
      </c>
      <c r="C5" s="7" t="s">
        <v>20</v>
      </c>
      <c r="D5" s="7" t="s">
        <v>21</v>
      </c>
      <c r="E5" s="9"/>
    </row>
    <row r="6" customFormat="false" ht="33.75" hidden="false" customHeight="true" outlineLevel="0" collapsed="false">
      <c r="A6" s="7" t="s">
        <v>22</v>
      </c>
      <c r="B6" s="8" t="s">
        <v>19</v>
      </c>
      <c r="C6" s="7" t="s">
        <v>23</v>
      </c>
      <c r="D6" s="7" t="s">
        <v>24</v>
      </c>
      <c r="E6" s="9"/>
    </row>
    <row r="7" customFormat="false" ht="33.75" hidden="false" customHeight="true" outlineLevel="0" collapsed="false">
      <c r="A7" s="7" t="s">
        <v>25</v>
      </c>
      <c r="B7" s="8" t="s">
        <v>19</v>
      </c>
      <c r="C7" s="7" t="s">
        <v>26</v>
      </c>
      <c r="D7" s="7" t="s">
        <v>27</v>
      </c>
      <c r="E7" s="9"/>
    </row>
    <row r="8" customFormat="false" ht="33.75" hidden="false" customHeight="true" outlineLevel="0" collapsed="false">
      <c r="A8" s="7" t="s">
        <v>28</v>
      </c>
      <c r="B8" s="8" t="s">
        <v>19</v>
      </c>
      <c r="C8" s="7" t="s">
        <v>29</v>
      </c>
      <c r="D8" s="7" t="s">
        <v>30</v>
      </c>
      <c r="E8" s="9"/>
    </row>
    <row r="9" customFormat="false" ht="33.75" hidden="false" customHeight="true" outlineLevel="0" collapsed="false">
      <c r="A9" s="7" t="s">
        <v>31</v>
      </c>
      <c r="B9" s="8" t="s">
        <v>19</v>
      </c>
      <c r="C9" s="7" t="s">
        <v>32</v>
      </c>
      <c r="D9" s="7" t="s">
        <v>33</v>
      </c>
      <c r="E9" s="9"/>
    </row>
    <row r="10" customFormat="false" ht="33.75" hidden="false" customHeight="true" outlineLevel="0" collapsed="false">
      <c r="A10" s="7" t="s">
        <v>34</v>
      </c>
      <c r="B10" s="8" t="s">
        <v>19</v>
      </c>
      <c r="C10" s="7" t="s">
        <v>35</v>
      </c>
      <c r="D10" s="7" t="s">
        <v>36</v>
      </c>
      <c r="E10" s="9"/>
    </row>
    <row r="12" customFormat="false" ht="15" hidden="false" customHeight="true" outlineLevel="0" collapsed="false">
      <c r="A12" s="10" t="s">
        <v>37</v>
      </c>
      <c r="B12" s="5" t="n">
        <f aca="false">COUNTIF(B5:B10,"Có")</f>
        <v>6</v>
      </c>
    </row>
    <row r="13" customFormat="false" ht="15" hidden="false" customHeight="true" outlineLevel="0" collapsed="false">
      <c r="A13" s="3" t="s">
        <v>38</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39</v>
      </c>
    </row>
    <row r="2" customFormat="false" ht="15" hidden="false" customHeight="true" outlineLevel="0" collapsed="false">
      <c r="A2" s="3" t="s">
        <v>40</v>
      </c>
    </row>
    <row r="4" customFormat="false" ht="39" hidden="false" customHeight="true" outlineLevel="0" collapsed="false">
      <c r="A4" s="11" t="s">
        <v>41</v>
      </c>
      <c r="B4" s="11" t="s">
        <v>42</v>
      </c>
      <c r="C4" s="11" t="s">
        <v>43</v>
      </c>
      <c r="D4" s="11" t="s">
        <v>44</v>
      </c>
      <c r="E4" s="11" t="s">
        <v>45</v>
      </c>
      <c r="F4" s="11" t="s">
        <v>46</v>
      </c>
      <c r="G4" s="11" t="s">
        <v>47</v>
      </c>
      <c r="H4" s="11" t="s">
        <v>48</v>
      </c>
      <c r="I4" s="11" t="s">
        <v>49</v>
      </c>
      <c r="J4" s="11" t="s">
        <v>50</v>
      </c>
      <c r="K4" s="11" t="s">
        <v>51</v>
      </c>
      <c r="L4" s="11" t="s">
        <v>52</v>
      </c>
      <c r="M4" s="11" t="s">
        <v>53</v>
      </c>
      <c r="N4" s="11" t="s">
        <v>54</v>
      </c>
      <c r="O4" s="11" t="s">
        <v>55</v>
      </c>
      <c r="P4" s="11" t="s">
        <v>56</v>
      </c>
      <c r="Q4" s="11" t="s">
        <v>57</v>
      </c>
    </row>
    <row r="5" customFormat="false" ht="34.5" hidden="false" customHeight="true" outlineLevel="0" collapsed="false">
      <c r="A5" s="12" t="n">
        <v>1</v>
      </c>
      <c r="B5" s="9" t="s">
        <v>58</v>
      </c>
      <c r="C5" s="9" t="s">
        <v>59</v>
      </c>
      <c r="D5" s="9" t="s">
        <v>60</v>
      </c>
      <c r="E5" s="9" t="s">
        <v>61</v>
      </c>
      <c r="F5" s="9" t="n">
        <v>5</v>
      </c>
      <c r="G5" s="9" t="n">
        <v>5</v>
      </c>
      <c r="H5" s="9" t="n">
        <v>0.8</v>
      </c>
      <c r="I5" s="9" t="n">
        <v>2</v>
      </c>
      <c r="J5" s="9" t="n">
        <v>0.8</v>
      </c>
      <c r="K5" s="9" t="n">
        <v>0.6</v>
      </c>
      <c r="L5" s="9" t="n">
        <v>0.2</v>
      </c>
      <c r="M5" s="13" t="n">
        <f aca="false">IF(COUNT(F5:L5)&lt;7,"",ROUND(F5*G5*H5/I5*(0.5+0.5*AVERAGE(J5:K5))*(1-0.5*L5),2))</f>
        <v>7.65</v>
      </c>
      <c r="N5" s="13" t="n">
        <f aca="false">IF(M5="","",RANK(M5,$M$5:$M$14))</f>
        <v>2</v>
      </c>
      <c r="O5" s="14" t="str">
        <f aca="false">IF(B5="","",IF(OR(D5="",E5=""),"Thiếu",IF(SUMPRODUCT(--ISNUMBER(SEARCH({"0","1","2","3","4","5","6","7","8","9"},E5)))&gt;0,"Có","Thiếu")))</f>
        <v>Có</v>
      </c>
      <c r="P5" s="15" t="s">
        <v>62</v>
      </c>
      <c r="Q5" s="15" t="s">
        <v>63</v>
      </c>
    </row>
    <row r="6" customFormat="false" ht="23.25" hidden="false" customHeight="true" outlineLevel="0" collapsed="false">
      <c r="A6" s="12" t="n">
        <v>2</v>
      </c>
      <c r="B6" s="9" t="s">
        <v>64</v>
      </c>
      <c r="C6" s="9" t="s">
        <v>65</v>
      </c>
      <c r="D6" s="9" t="s">
        <v>66</v>
      </c>
      <c r="E6" s="9" t="s">
        <v>67</v>
      </c>
      <c r="F6" s="9" t="n">
        <v>5</v>
      </c>
      <c r="G6" s="9" t="n">
        <v>4</v>
      </c>
      <c r="H6" s="9" t="n">
        <v>1</v>
      </c>
      <c r="I6" s="9" t="n">
        <v>1</v>
      </c>
      <c r="J6" s="9" t="n">
        <v>0.8</v>
      </c>
      <c r="K6" s="9" t="n">
        <v>0.7</v>
      </c>
      <c r="L6" s="9" t="n">
        <v>0.3</v>
      </c>
      <c r="M6" s="13" t="n">
        <f aca="false">IF(COUNT(F6:L6)&lt;7,"",ROUND(F6*G6*H6/I6*(0.5+0.5*AVERAGE(J6:K6))*(1-0.5*L6),2))</f>
        <v>14.88</v>
      </c>
      <c r="N6" s="13" t="n">
        <f aca="false">IF(M6="","",RANK(M6,$M$5:$M$14))</f>
        <v>1</v>
      </c>
      <c r="O6" s="14" t="str">
        <f aca="false">IF(B6="","",IF(OR(D6="",E6=""),"Thiếu",IF(SUMPRODUCT(--ISNUMBER(SEARCH({"0","1","2","3","4","5","6","7","8","9"},E6)))&gt;0,"Có","Thiếu")))</f>
        <v>Có</v>
      </c>
      <c r="P6" s="15" t="s">
        <v>62</v>
      </c>
      <c r="Q6" s="15" t="s">
        <v>68</v>
      </c>
    </row>
    <row r="7" customFormat="false" ht="23.25" hidden="false" customHeight="true" outlineLevel="0" collapsed="false">
      <c r="A7" s="12" t="n">
        <v>3</v>
      </c>
      <c r="B7" s="9" t="s">
        <v>69</v>
      </c>
      <c r="C7" s="9" t="s">
        <v>70</v>
      </c>
      <c r="D7" s="9" t="s">
        <v>71</v>
      </c>
      <c r="E7" s="9" t="s">
        <v>72</v>
      </c>
      <c r="F7" s="9" t="n">
        <v>4</v>
      </c>
      <c r="G7" s="9" t="n">
        <v>5</v>
      </c>
      <c r="H7" s="9" t="n">
        <v>0.5</v>
      </c>
      <c r="I7" s="9" t="n">
        <v>4</v>
      </c>
      <c r="J7" s="9" t="n">
        <v>0.5</v>
      </c>
      <c r="K7" s="9" t="n">
        <v>0.3</v>
      </c>
      <c r="L7" s="9" t="n">
        <v>0.2</v>
      </c>
      <c r="M7" s="13" t="n">
        <f aca="false">IF(COUNT(F7:L7)&lt;7,"",ROUND(F7*G7*H7/I7*(0.5+0.5*AVERAGE(J7:K7))*(1-0.5*L7),2))</f>
        <v>1.58</v>
      </c>
      <c r="N7" s="13" t="n">
        <f aca="false">IF(M7="","",RANK(M7,$M$5:$M$14))</f>
        <v>6</v>
      </c>
      <c r="O7" s="14" t="str">
        <f aca="false">IF(B7="","",IF(OR(D7="",E7=""),"Thiếu",IF(SUMPRODUCT(--ISNUMBER(SEARCH({"0","1","2","3","4","5","6","7","8","9"},E7)))&gt;0,"Có","Thiếu")))</f>
        <v>Có</v>
      </c>
      <c r="P7" s="15" t="s">
        <v>73</v>
      </c>
      <c r="Q7" s="15" t="s">
        <v>74</v>
      </c>
    </row>
    <row r="8" customFormat="false" ht="23.25" hidden="false" customHeight="true" outlineLevel="0" collapsed="false">
      <c r="A8" s="12" t="n">
        <v>4</v>
      </c>
      <c r="B8" s="9" t="s">
        <v>75</v>
      </c>
      <c r="C8" s="9" t="s">
        <v>76</v>
      </c>
      <c r="D8" s="9" t="s">
        <v>77</v>
      </c>
      <c r="E8" s="9" t="s">
        <v>78</v>
      </c>
      <c r="F8" s="9" t="n">
        <v>4</v>
      </c>
      <c r="G8" s="9" t="n">
        <v>2</v>
      </c>
      <c r="H8" s="9" t="n">
        <v>0.8</v>
      </c>
      <c r="I8" s="9" t="n">
        <v>1</v>
      </c>
      <c r="J8" s="9" t="n">
        <v>0.9</v>
      </c>
      <c r="K8" s="9" t="n">
        <v>0.5</v>
      </c>
      <c r="L8" s="9" t="n">
        <v>0.8</v>
      </c>
      <c r="M8" s="13" t="n">
        <f aca="false">IF(COUNT(F8:L8)&lt;7,"",ROUND(F8*G8*H8/I8*(0.5+0.5*AVERAGE(J8:K8))*(1-0.5*L8),2))</f>
        <v>3.26</v>
      </c>
      <c r="N8" s="13" t="n">
        <f aca="false">IF(M8="","",RANK(M8,$M$5:$M$14))</f>
        <v>4</v>
      </c>
      <c r="O8" s="14" t="str">
        <f aca="false">IF(B8="","",IF(OR(D8="",E8=""),"Thiếu",IF(SUMPRODUCT(--ISNUMBER(SEARCH({"0","1","2","3","4","5","6","7","8","9"},E8)))&gt;0,"Có","Thiếu")))</f>
        <v>Có</v>
      </c>
      <c r="P8" s="15" t="s">
        <v>79</v>
      </c>
      <c r="Q8" s="15" t="s">
        <v>80</v>
      </c>
    </row>
    <row r="9" customFormat="false" ht="23.25" hidden="false" customHeight="true" outlineLevel="0" collapsed="false">
      <c r="A9" s="12" t="n">
        <v>5</v>
      </c>
      <c r="B9" s="9" t="s">
        <v>81</v>
      </c>
      <c r="C9" s="9" t="s">
        <v>82</v>
      </c>
      <c r="D9" s="9" t="s">
        <v>83</v>
      </c>
      <c r="E9" s="9" t="s">
        <v>84</v>
      </c>
      <c r="F9" s="9" t="n">
        <v>3</v>
      </c>
      <c r="G9" s="9" t="n">
        <v>2</v>
      </c>
      <c r="H9" s="9" t="n">
        <v>0.5</v>
      </c>
      <c r="I9" s="9" t="n">
        <v>3</v>
      </c>
      <c r="J9" s="9" t="n">
        <v>0.4</v>
      </c>
      <c r="K9" s="9" t="n">
        <v>0.2</v>
      </c>
      <c r="L9" s="9" t="n">
        <v>0.9</v>
      </c>
      <c r="M9" s="13" t="n">
        <f aca="false">IF(COUNT(F9:L9)&lt;7,"",ROUND(F9*G9*H9/I9*(0.5+0.5*AVERAGE(J9:K9))*(1-0.5*L9),2))</f>
        <v>0.36</v>
      </c>
      <c r="N9" s="13" t="n">
        <f aca="false">IF(M9="","",RANK(M9,$M$5:$M$14))</f>
        <v>7</v>
      </c>
      <c r="O9" s="14" t="str">
        <f aca="false">IF(B9="","",IF(OR(D9="",E9=""),"Thiếu",IF(SUMPRODUCT(--ISNUMBER(SEARCH({"0","1","2","3","4","5","6","7","8","9"},E9)))&gt;0,"Có","Thiếu")))</f>
        <v>Thiếu</v>
      </c>
      <c r="P9" s="15" t="s">
        <v>85</v>
      </c>
      <c r="Q9" s="15" t="s">
        <v>86</v>
      </c>
    </row>
    <row r="10" customFormat="false" ht="23.25" hidden="false" customHeight="true" outlineLevel="0" collapsed="false">
      <c r="A10" s="12" t="n">
        <v>6</v>
      </c>
      <c r="B10" s="9" t="s">
        <v>87</v>
      </c>
      <c r="C10" s="9" t="s">
        <v>88</v>
      </c>
      <c r="D10" s="9" t="s">
        <v>89</v>
      </c>
      <c r="E10" s="9" t="s">
        <v>90</v>
      </c>
      <c r="F10" s="9" t="n">
        <v>4</v>
      </c>
      <c r="G10" s="9" t="n">
        <v>4</v>
      </c>
      <c r="H10" s="9" t="n">
        <v>0.5</v>
      </c>
      <c r="I10" s="9" t="n">
        <v>3</v>
      </c>
      <c r="J10" s="9" t="n">
        <v>0.6</v>
      </c>
      <c r="K10" s="9" t="n">
        <v>0.4</v>
      </c>
      <c r="L10" s="9" t="n">
        <v>0.3</v>
      </c>
      <c r="M10" s="13" t="n">
        <f aca="false">IF(COUNT(F10:L10)&lt;7,"",ROUND(F10*G10*H10/I10*(0.5+0.5*AVERAGE(J10:K10))*(1-0.5*L10),2))</f>
        <v>1.7</v>
      </c>
      <c r="N10" s="13" t="n">
        <f aca="false">IF(M10="","",RANK(M10,$M$5:$M$14))</f>
        <v>5</v>
      </c>
      <c r="O10" s="14" t="str">
        <f aca="false">IF(B10="","",IF(OR(D10="",E10=""),"Thiếu",IF(SUMPRODUCT(--ISNUMBER(SEARCH({"0","1","2","3","4","5","6","7","8","9"},E10)))&gt;0,"Có","Thiếu")))</f>
        <v>Có</v>
      </c>
      <c r="P10" s="15" t="s">
        <v>62</v>
      </c>
      <c r="Q10" s="15" t="s">
        <v>91</v>
      </c>
    </row>
    <row r="11" customFormat="false" ht="15" hidden="false" customHeight="true" outlineLevel="0" collapsed="false">
      <c r="A11" s="12" t="n">
        <v>7</v>
      </c>
      <c r="B11" s="9" t="s">
        <v>92</v>
      </c>
      <c r="C11" s="9" t="s">
        <v>93</v>
      </c>
      <c r="D11" s="9" t="s">
        <v>94</v>
      </c>
      <c r="E11" s="9" t="s">
        <v>95</v>
      </c>
      <c r="F11" s="9" t="n">
        <v>3</v>
      </c>
      <c r="G11" s="9" t="n">
        <v>5</v>
      </c>
      <c r="H11" s="9" t="n">
        <v>0.5</v>
      </c>
      <c r="I11" s="9" t="n">
        <v>1</v>
      </c>
      <c r="J11" s="9" t="n">
        <v>0.9</v>
      </c>
      <c r="K11" s="9" t="n">
        <v>0.8</v>
      </c>
      <c r="L11" s="9" t="n">
        <v>0.1</v>
      </c>
      <c r="M11" s="13" t="n">
        <f aca="false">IF(COUNT(F11:L11)&lt;7,"",ROUND(F11*G11*H11/I11*(0.5+0.5*AVERAGE(J11:K11))*(1-0.5*L11),2))</f>
        <v>6.59</v>
      </c>
      <c r="N11" s="13" t="n">
        <f aca="false">IF(M11="","",RANK(M11,$M$5:$M$14))</f>
        <v>3</v>
      </c>
      <c r="O11" s="14" t="str">
        <f aca="false">IF(B11="","",IF(OR(D11="",E11=""),"Thiếu",IF(SUMPRODUCT(--ISNUMBER(SEARCH({"0","1","2","3","4","5","6","7","8","9"},E11)))&gt;0,"Có","Thiếu")))</f>
        <v>Có</v>
      </c>
      <c r="P11" s="15" t="s">
        <v>62</v>
      </c>
      <c r="Q11" s="15" t="s">
        <v>96</v>
      </c>
    </row>
    <row r="12" customFormat="false" ht="15" hidden="false" customHeight="true" outlineLevel="0" collapsed="false">
      <c r="A12" s="12" t="n">
        <v>8</v>
      </c>
      <c r="B12" s="9"/>
      <c r="C12" s="9"/>
      <c r="D12" s="9"/>
      <c r="E12" s="9"/>
      <c r="F12" s="9"/>
      <c r="G12" s="9"/>
      <c r="H12" s="9"/>
      <c r="I12" s="9"/>
      <c r="J12" s="9"/>
      <c r="K12" s="9"/>
      <c r="L12" s="9"/>
      <c r="M12" s="13" t="str">
        <f aca="false">IF(COUNT(F12:L12)&lt;7,"",ROUND(F12*G12*H12/I12*(0.5+0.5*AVERAGE(J12:K12))*(1-0.5*L12),2))</f>
        <v/>
      </c>
      <c r="N12" s="13" t="str">
        <f aca="false">IF(M12="","",RANK(M12,$M$5:$M$14))</f>
        <v/>
      </c>
      <c r="O12" s="14" t="str">
        <f aca="false">IF(B12="","",IF(OR(D12="",E12=""),"Thiếu",IF(SUMPRODUCT(--ISNUMBER(SEARCH({"0","1","2","3","4","5","6","7","8","9"},E12)))&gt;0,"Có","Thiếu")))</f>
        <v/>
      </c>
      <c r="P12" s="15"/>
      <c r="Q12" s="15"/>
    </row>
    <row r="13" customFormat="false" ht="15" hidden="false" customHeight="true" outlineLevel="0" collapsed="false">
      <c r="A13" s="12" t="n">
        <v>9</v>
      </c>
      <c r="B13" s="9"/>
      <c r="C13" s="9"/>
      <c r="D13" s="9"/>
      <c r="E13" s="9"/>
      <c r="F13" s="9"/>
      <c r="G13" s="9"/>
      <c r="H13" s="9"/>
      <c r="I13" s="9"/>
      <c r="J13" s="9"/>
      <c r="K13" s="9"/>
      <c r="L13" s="9"/>
      <c r="M13" s="13" t="str">
        <f aca="false">IF(COUNT(F13:L13)&lt;7,"",ROUND(F13*G13*H13/I13*(0.5+0.5*AVERAGE(J13:K13))*(1-0.5*L13),2))</f>
        <v/>
      </c>
      <c r="N13" s="13" t="str">
        <f aca="false">IF(M13="","",RANK(M13,$M$5:$M$14))</f>
        <v/>
      </c>
      <c r="O13" s="14" t="str">
        <f aca="false">IF(B13="","",IF(OR(D13="",E13=""),"Thiếu",IF(SUMPRODUCT(--ISNUMBER(SEARCH({"0","1","2","3","4","5","6","7","8","9"},E13)))&gt;0,"Có","Thiếu")))</f>
        <v/>
      </c>
      <c r="P13" s="15"/>
      <c r="Q13" s="15"/>
    </row>
    <row r="14" customFormat="false" ht="15" hidden="false" customHeight="true" outlineLevel="0" collapsed="false">
      <c r="A14" s="12" t="n">
        <v>10</v>
      </c>
      <c r="B14" s="9"/>
      <c r="C14" s="9"/>
      <c r="D14" s="9"/>
      <c r="E14" s="9"/>
      <c r="F14" s="9"/>
      <c r="G14" s="9"/>
      <c r="H14" s="9"/>
      <c r="I14" s="9"/>
      <c r="J14" s="9"/>
      <c r="K14" s="9"/>
      <c r="L14" s="9"/>
      <c r="M14" s="13" t="str">
        <f aca="false">IF(COUNT(F14:L14)&lt;7,"",ROUND(F14*G14*H14/I14*(0.5+0.5*AVERAGE(J14:K14))*(1-0.5*L14),2))</f>
        <v/>
      </c>
      <c r="N14" s="13" t="str">
        <f aca="false">IF(M14="","",RANK(M14,$M$5:$M$14))</f>
        <v/>
      </c>
      <c r="O14" s="14" t="str">
        <f aca="false">IF(B14="","",IF(OR(D14="",E14=""),"Thiếu",IF(SUMPRODUCT(--ISNUMBER(SEARCH({"0","1","2","3","4","5","6","7","8","9"},E14)))&gt;0,"Có","Thiếu")))</f>
        <v/>
      </c>
      <c r="P14" s="15"/>
      <c r="Q14" s="15"/>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97</v>
      </c>
    </row>
    <row r="2" customFormat="false" ht="15" hidden="false" customHeight="true" outlineLevel="0" collapsed="false">
      <c r="A2" s="3" t="s">
        <v>98</v>
      </c>
    </row>
    <row r="4" customFormat="false" ht="26.25" hidden="false" customHeight="true" outlineLevel="0" collapsed="false">
      <c r="A4" s="11" t="s">
        <v>99</v>
      </c>
      <c r="B4" s="11" t="s">
        <v>100</v>
      </c>
      <c r="C4" s="11" t="s">
        <v>101</v>
      </c>
      <c r="D4" s="11" t="s">
        <v>102</v>
      </c>
      <c r="E4" s="11" t="s">
        <v>103</v>
      </c>
      <c r="F4" s="11" t="s">
        <v>104</v>
      </c>
      <c r="G4" s="11" t="s">
        <v>105</v>
      </c>
      <c r="H4" s="11" t="s">
        <v>106</v>
      </c>
      <c r="I4" s="11" t="s">
        <v>107</v>
      </c>
      <c r="J4" s="11" t="s">
        <v>108</v>
      </c>
      <c r="K4" s="11" t="s">
        <v>109</v>
      </c>
      <c r="L4" s="11" t="s">
        <v>110</v>
      </c>
      <c r="M4" s="11" t="s">
        <v>111</v>
      </c>
    </row>
    <row r="5" customFormat="false" ht="48" hidden="false" customHeight="true" outlineLevel="0" collapsed="false">
      <c r="A5" s="12" t="n">
        <v>0</v>
      </c>
      <c r="B5" s="9" t="s">
        <v>112</v>
      </c>
      <c r="C5" s="9" t="s">
        <v>113</v>
      </c>
      <c r="D5" s="9" t="s">
        <v>114</v>
      </c>
      <c r="E5" s="9" t="s">
        <v>115</v>
      </c>
      <c r="F5" s="9" t="s">
        <v>116</v>
      </c>
      <c r="G5" s="9" t="s">
        <v>117</v>
      </c>
      <c r="H5" s="16" t="n">
        <v>1</v>
      </c>
      <c r="I5" s="15" t="s">
        <v>118</v>
      </c>
      <c r="J5" s="17" t="n">
        <f aca="false">IF(H5="","",$B$12+$B$13+IF(I5="Người của mình",H5*$B$14*$B$15/60,0))</f>
        <v>1763.216</v>
      </c>
      <c r="K5" s="18" t="n">
        <f aca="false">IF(J5="","",IFERROR(($B$16-$B$17*J5)/$B$16,""))</f>
        <v>-0.123422756439223</v>
      </c>
      <c r="L5" s="19" t="str">
        <f aca="false">IF(K5="","",IF(K5&gt;=0.6,"Đạt","Dưới ngưỡng"))</f>
        <v>Dưới ngưỡng</v>
      </c>
    </row>
    <row r="6" customFormat="false" ht="48" hidden="false" customHeight="true" outlineLevel="0" collapsed="false">
      <c r="A6" s="12" t="n">
        <v>1</v>
      </c>
      <c r="B6" s="9" t="s">
        <v>119</v>
      </c>
      <c r="C6" s="9" t="s">
        <v>120</v>
      </c>
      <c r="D6" s="9" t="s">
        <v>121</v>
      </c>
      <c r="E6" s="9" t="s">
        <v>122</v>
      </c>
      <c r="F6" s="9" t="s">
        <v>123</v>
      </c>
      <c r="G6" s="9" t="s">
        <v>124</v>
      </c>
      <c r="H6" s="16" t="n">
        <v>0.25</v>
      </c>
      <c r="I6" s="15" t="s">
        <v>118</v>
      </c>
      <c r="J6" s="17" t="n">
        <f aca="false">IF(H6="","",$B$12+$B$13+IF(I6="Người của mình",H6*$B$14*$B$15/60,0))</f>
        <v>638.216</v>
      </c>
      <c r="K6" s="18" t="n">
        <f aca="false">IF(J6="","",IFERROR(($B$16-$B$17*J6)/$B$16,""))</f>
        <v>0.593364410302756</v>
      </c>
      <c r="L6" s="19" t="str">
        <f aca="false">IF(K6="","",IF(K6&gt;=0.6,"Đạt","Dưới ngưỡng"))</f>
        <v>Dưới ngưỡng</v>
      </c>
      <c r="M6" s="19" t="str">
        <f aca="false">IF(E6="","",IF(SUMPRODUCT(--ISNUMBER(SEARCH({"0","1","2","3","4","5","6","7","8","9"},E6)))&gt;0,"Có","Thiếu"))</f>
        <v>Có</v>
      </c>
    </row>
    <row r="7" customFormat="false" ht="48" hidden="false" customHeight="true" outlineLevel="0" collapsed="false">
      <c r="A7" s="12" t="n">
        <v>2</v>
      </c>
      <c r="B7" s="9" t="s">
        <v>125</v>
      </c>
      <c r="C7" s="9" t="s">
        <v>126</v>
      </c>
      <c r="D7" s="9" t="s">
        <v>127</v>
      </c>
      <c r="E7" s="9" t="s">
        <v>128</v>
      </c>
      <c r="F7" s="9" t="s">
        <v>129</v>
      </c>
      <c r="G7" s="9" t="s">
        <v>130</v>
      </c>
      <c r="H7" s="16" t="n">
        <v>0.1</v>
      </c>
      <c r="I7" s="15" t="s">
        <v>118</v>
      </c>
      <c r="J7" s="17" t="n">
        <f aca="false">IF(H7="","",$B$12+$B$13+IF(I7="Người của mình",H7*$B$14*$B$15/60,0))</f>
        <v>413.216</v>
      </c>
      <c r="K7" s="18" t="n">
        <f aca="false">IF(J7="","",IFERROR(($B$16-$B$17*J7)/$B$16,""))</f>
        <v>0.736721843651152</v>
      </c>
      <c r="L7" s="19" t="str">
        <f aca="false">IF(K7="","",IF(K7&gt;=0.6,"Đạt","Dưới ngưỡng"))</f>
        <v>Đạt</v>
      </c>
      <c r="M7" s="19" t="str">
        <f aca="false">IF(E7="","",IF(SUMPRODUCT(--ISNUMBER(SEARCH({"0","1","2","3","4","5","6","7","8","9"},E7)))&gt;0,"Có","Thiếu"))</f>
        <v>Có</v>
      </c>
    </row>
    <row r="8" customFormat="false" ht="48" hidden="false" customHeight="true" outlineLevel="0" collapsed="false">
      <c r="A8" s="12" t="n">
        <v>3</v>
      </c>
      <c r="B8" s="9" t="s">
        <v>131</v>
      </c>
      <c r="C8" s="9" t="s">
        <v>132</v>
      </c>
      <c r="D8" s="9" t="s">
        <v>133</v>
      </c>
      <c r="E8" s="9" t="s">
        <v>134</v>
      </c>
      <c r="F8" s="9" t="s">
        <v>135</v>
      </c>
      <c r="G8" s="9" t="s">
        <v>136</v>
      </c>
      <c r="H8" s="16" t="n">
        <v>0.05</v>
      </c>
      <c r="I8" s="15" t="s">
        <v>118</v>
      </c>
      <c r="J8" s="17" t="n">
        <f aca="false">IF(H8="","",$B$12+$B$13+IF(I8="Người của mình",H8*$B$14*$B$15/60,0))</f>
        <v>338.216</v>
      </c>
      <c r="K8" s="18" t="n">
        <f aca="false">IF(J8="","",IFERROR(($B$16-$B$17*J8)/$B$16,""))</f>
        <v>0.784507654767284</v>
      </c>
      <c r="L8" s="19" t="str">
        <f aca="false">IF(K8="","",IF(K8&gt;=0.6,"Đạt","Dưới ngưỡng"))</f>
        <v>Đạt</v>
      </c>
      <c r="M8" s="19" t="str">
        <f aca="false">IF(E8="","",IF(SUMPRODUCT(--ISNUMBER(SEARCH({"0","1","2","3","4","5","6","7","8","9"},E8)))&gt;0,"Có","Thiếu"))</f>
        <v>Có</v>
      </c>
    </row>
    <row r="11" customFormat="false" ht="15" hidden="false" customHeight="true" outlineLevel="0" collapsed="false">
      <c r="A11" s="10" t="s">
        <v>137</v>
      </c>
    </row>
    <row r="12" customFormat="false" ht="15" hidden="false" customHeight="true" outlineLevel="0" collapsed="false">
      <c r="A12" s="20" t="s">
        <v>138</v>
      </c>
      <c r="B12" s="21" t="n">
        <v>73.216</v>
      </c>
      <c r="C12" s="22" t="s">
        <v>139</v>
      </c>
    </row>
    <row r="13" customFormat="false" ht="15" hidden="false" customHeight="true" outlineLevel="0" collapsed="false">
      <c r="A13" s="20" t="s">
        <v>140</v>
      </c>
      <c r="B13" s="21" t="n">
        <v>190</v>
      </c>
      <c r="C13" s="22" t="s">
        <v>139</v>
      </c>
    </row>
    <row r="14" customFormat="false" ht="15" hidden="false" customHeight="true" outlineLevel="0" collapsed="false">
      <c r="A14" s="20" t="s">
        <v>141</v>
      </c>
      <c r="B14" s="23" t="n">
        <v>1.5</v>
      </c>
      <c r="C14" s="22" t="s">
        <v>139</v>
      </c>
    </row>
    <row r="15" customFormat="false" ht="15" hidden="false" customHeight="true" outlineLevel="0" collapsed="false">
      <c r="A15" s="20" t="s">
        <v>142</v>
      </c>
      <c r="B15" s="21" t="n">
        <v>60000</v>
      </c>
      <c r="C15" s="22" t="s">
        <v>139</v>
      </c>
    </row>
    <row r="16" customFormat="false" ht="15" hidden="false" customHeight="true" outlineLevel="0" collapsed="false">
      <c r="A16" s="20" t="s">
        <v>143</v>
      </c>
      <c r="B16" s="21" t="n">
        <v>1106500</v>
      </c>
      <c r="C16" s="22" t="s">
        <v>139</v>
      </c>
    </row>
    <row r="17" customFormat="false" ht="15" hidden="false" customHeight="true" outlineLevel="0" collapsed="false">
      <c r="A17" s="20" t="s">
        <v>144</v>
      </c>
      <c r="B17" s="21" t="n">
        <v>705</v>
      </c>
      <c r="C17" s="22" t="s">
        <v>139</v>
      </c>
    </row>
    <row r="18" customFormat="false" ht="15" hidden="false" customHeight="true" outlineLevel="0" collapsed="false">
      <c r="A18" s="20" t="s">
        <v>145</v>
      </c>
      <c r="B18" s="15" t="s">
        <v>146</v>
      </c>
      <c r="C18" s="22" t="s">
        <v>139</v>
      </c>
    </row>
    <row r="19" customFormat="false" ht="15" hidden="false" customHeight="true" outlineLevel="0" collapsed="false">
      <c r="A19" s="20" t="s">
        <v>147</v>
      </c>
      <c r="B19" s="15" t="s">
        <v>148</v>
      </c>
      <c r="C19" s="22" t="s">
        <v>139</v>
      </c>
    </row>
    <row r="20" customFormat="false" ht="15" hidden="false" customHeight="true" outlineLevel="0" collapsed="false">
      <c r="A20" s="20" t="s">
        <v>149</v>
      </c>
      <c r="B20" s="24" t="n">
        <v>10</v>
      </c>
      <c r="C20" s="22" t="s">
        <v>139</v>
      </c>
    </row>
    <row r="22" customFormat="false" ht="15" hidden="false" customHeight="true" outlineLevel="0" collapsed="false">
      <c r="A22" s="22" t="s">
        <v>150</v>
      </c>
    </row>
    <row r="23" customFormat="false" ht="15" hidden="false" customHeight="true" outlineLevel="0" collapsed="false">
      <c r="A23" s="22" t="s">
        <v>151</v>
      </c>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152</v>
      </c>
    </row>
    <row r="2" customFormat="false" ht="15" hidden="false" customHeight="true" outlineLevel="0" collapsed="false">
      <c r="A2" s="3" t="s">
        <v>153</v>
      </c>
    </row>
    <row r="4" customFormat="false" ht="15" hidden="false" customHeight="true" outlineLevel="0" collapsed="false">
      <c r="A4" s="11" t="s">
        <v>154</v>
      </c>
      <c r="B4" s="11" t="s">
        <v>155</v>
      </c>
      <c r="C4" s="11" t="s">
        <v>156</v>
      </c>
      <c r="D4" s="11" t="s">
        <v>157</v>
      </c>
    </row>
    <row r="5" customFormat="false" ht="48" hidden="false" customHeight="true" outlineLevel="0" collapsed="false">
      <c r="A5" s="25" t="s">
        <v>158</v>
      </c>
      <c r="B5" s="9" t="s">
        <v>159</v>
      </c>
      <c r="C5" s="9" t="s">
        <v>160</v>
      </c>
      <c r="D5" s="9" t="s">
        <v>161</v>
      </c>
    </row>
    <row r="6" customFormat="false" ht="48" hidden="false" customHeight="true" outlineLevel="0" collapsed="false">
      <c r="A6" s="25" t="s">
        <v>162</v>
      </c>
      <c r="B6" s="9" t="s">
        <v>163</v>
      </c>
      <c r="C6" s="9" t="s">
        <v>164</v>
      </c>
      <c r="D6" s="9" t="s">
        <v>165</v>
      </c>
    </row>
    <row r="7" customFormat="false" ht="48" hidden="false" customHeight="true" outlineLevel="0" collapsed="false">
      <c r="A7" s="25" t="s">
        <v>45</v>
      </c>
      <c r="B7" s="9" t="s">
        <v>166</v>
      </c>
      <c r="C7" s="9" t="s">
        <v>167</v>
      </c>
      <c r="D7" s="9" t="s">
        <v>90</v>
      </c>
    </row>
    <row r="8" customFormat="false" ht="48" hidden="false" customHeight="true" outlineLevel="0" collapsed="false">
      <c r="A8" s="25" t="s">
        <v>168</v>
      </c>
      <c r="B8" s="9" t="s">
        <v>169</v>
      </c>
      <c r="C8" s="9" t="s">
        <v>170</v>
      </c>
      <c r="D8" s="9" t="s">
        <v>171</v>
      </c>
    </row>
    <row r="9" customFormat="false" ht="48" hidden="false" customHeight="true" outlineLevel="0" collapsed="false">
      <c r="A9" s="25" t="s">
        <v>172</v>
      </c>
      <c r="B9" s="9" t="s">
        <v>173</v>
      </c>
      <c r="C9" s="9" t="s">
        <v>174</v>
      </c>
      <c r="D9" s="9" t="s">
        <v>175</v>
      </c>
    </row>
    <row r="10" customFormat="false" ht="48" hidden="false" customHeight="true" outlineLevel="0" collapsed="false">
      <c r="A10" s="25" t="s">
        <v>176</v>
      </c>
      <c r="B10" s="9" t="s">
        <v>177</v>
      </c>
      <c r="C10" s="9" t="s">
        <v>178</v>
      </c>
      <c r="D10" s="9" t="s">
        <v>179</v>
      </c>
    </row>
    <row r="11" customFormat="false" ht="48" hidden="false" customHeight="true" outlineLevel="0" collapsed="false">
      <c r="A11" s="25" t="s">
        <v>180</v>
      </c>
      <c r="B11" s="9" t="s">
        <v>181</v>
      </c>
      <c r="C11" s="9" t="s">
        <v>182</v>
      </c>
      <c r="D11" s="9" t="s">
        <v>183</v>
      </c>
    </row>
    <row r="12" customFormat="false" ht="48" hidden="false" customHeight="true" outlineLevel="0" collapsed="false">
      <c r="A12" s="25" t="s">
        <v>184</v>
      </c>
      <c r="B12" s="9" t="s">
        <v>185</v>
      </c>
      <c r="C12" s="9" t="s">
        <v>186</v>
      </c>
      <c r="D12" s="9" t="s">
        <v>187</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188</v>
      </c>
    </row>
    <row r="2" customFormat="false" ht="15" hidden="false" customHeight="true" outlineLevel="0" collapsed="false">
      <c r="A2" s="3" t="s">
        <v>189</v>
      </c>
    </row>
    <row r="4" customFormat="false" ht="15" hidden="false" customHeight="true" outlineLevel="0" collapsed="false">
      <c r="A4" s="11" t="s">
        <v>190</v>
      </c>
      <c r="B4" s="11" t="s">
        <v>191</v>
      </c>
      <c r="C4" s="11" t="s">
        <v>192</v>
      </c>
      <c r="D4" s="11" t="s">
        <v>193</v>
      </c>
    </row>
    <row r="5" customFormat="false" ht="15" hidden="false" customHeight="true" outlineLevel="0" collapsed="false">
      <c r="A5" s="9" t="s">
        <v>194</v>
      </c>
      <c r="B5" s="9" t="s">
        <v>195</v>
      </c>
      <c r="C5" s="9" t="s">
        <v>196</v>
      </c>
      <c r="D5" s="9" t="s">
        <v>197</v>
      </c>
    </row>
    <row r="6" customFormat="false" ht="15" hidden="false" customHeight="true" outlineLevel="0" collapsed="false">
      <c r="A6" s="9" t="s">
        <v>198</v>
      </c>
      <c r="B6" s="9" t="s">
        <v>199</v>
      </c>
      <c r="C6" s="9" t="s">
        <v>200</v>
      </c>
      <c r="D6" s="9" t="s">
        <v>201</v>
      </c>
    </row>
    <row r="7" customFormat="false" ht="15" hidden="false" customHeight="true" outlineLevel="0" collapsed="false">
      <c r="A7" s="9" t="s">
        <v>202</v>
      </c>
      <c r="B7" s="9" t="s">
        <v>203</v>
      </c>
      <c r="C7" s="9" t="s">
        <v>204</v>
      </c>
      <c r="D7" s="9" t="s">
        <v>205</v>
      </c>
    </row>
    <row r="8" customFormat="false" ht="15" hidden="false" customHeight="true" outlineLevel="0" collapsed="false">
      <c r="A8" s="9" t="s">
        <v>206</v>
      </c>
      <c r="B8" s="9" t="s">
        <v>207</v>
      </c>
      <c r="C8" s="9" t="s">
        <v>208</v>
      </c>
      <c r="D8" s="9" t="s">
        <v>201</v>
      </c>
    </row>
    <row r="9" customFormat="false" ht="15" hidden="false" customHeight="true" outlineLevel="0" collapsed="false">
      <c r="A9" s="9" t="s">
        <v>209</v>
      </c>
      <c r="B9" s="9" t="s">
        <v>210</v>
      </c>
      <c r="C9" s="9" t="s">
        <v>211</v>
      </c>
      <c r="D9" s="9" t="s">
        <v>205</v>
      </c>
    </row>
    <row r="10" customFormat="false" ht="15" hidden="false" customHeight="true" outlineLevel="0" collapsed="false">
      <c r="A10" s="9" t="s">
        <v>212</v>
      </c>
      <c r="B10" s="9" t="s">
        <v>213</v>
      </c>
      <c r="C10" s="9" t="s">
        <v>214</v>
      </c>
      <c r="D10" s="9" t="s">
        <v>215</v>
      </c>
    </row>
    <row r="12" customFormat="false" ht="15" hidden="false" customHeight="true" outlineLevel="0" collapsed="false">
      <c r="A12" s="22" t="s">
        <v>216</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217</v>
      </c>
    </row>
    <row r="2" customFormat="false" ht="15" hidden="false" customHeight="true" outlineLevel="0" collapsed="false">
      <c r="A2" s="3" t="s">
        <v>218</v>
      </c>
    </row>
    <row r="3" customFormat="false" ht="15" hidden="false" customHeight="true" outlineLevel="0" collapsed="false">
      <c r="C3" s="26" t="s">
        <v>219</v>
      </c>
      <c r="D3" s="26" t="s">
        <v>220</v>
      </c>
    </row>
    <row r="4" customFormat="false" ht="33.75" hidden="false" customHeight="true" outlineLevel="0" collapsed="false">
      <c r="A4" s="26" t="s">
        <v>221</v>
      </c>
      <c r="B4" s="9" t="s">
        <v>222</v>
      </c>
      <c r="C4" s="27" t="n">
        <f aca="false">IF(TRIM(B4)="",0,LEN(TRIM(B4))-LEN(SUBSTITUTE(TRIM(B4)," ",""))+1)</f>
        <v>33</v>
      </c>
      <c r="D4" s="19" t="str">
        <f aca="false">IF(C4=0,"Trống",IF(C4&gt;60,"Quá 60 chữ","Đạt"))</f>
        <v>Đạt</v>
      </c>
    </row>
    <row r="5" customFormat="false" ht="33.75" hidden="false" customHeight="true" outlineLevel="0" collapsed="false">
      <c r="A5" s="26" t="s">
        <v>223</v>
      </c>
      <c r="B5" s="9" t="s">
        <v>224</v>
      </c>
      <c r="C5" s="27" t="n">
        <f aca="false">IF(TRIM(B5)="",0,LEN(TRIM(B5))-LEN(SUBSTITUTE(TRIM(B5)," ",""))+1)</f>
        <v>34</v>
      </c>
      <c r="D5" s="19" t="str">
        <f aca="false">IF(C5=0,"Trống",IF(C5&gt;60,"Quá 60 chữ","Đạt"))</f>
        <v>Đạt</v>
      </c>
    </row>
    <row r="6" customFormat="false" ht="33.75" hidden="false" customHeight="true" outlineLevel="0" collapsed="false">
      <c r="A6" s="26" t="s">
        <v>225</v>
      </c>
      <c r="B6" s="9" t="s">
        <v>226</v>
      </c>
      <c r="C6" s="27" t="n">
        <f aca="false">IF(TRIM(B6)="",0,LEN(TRIM(B6))-LEN(SUBSTITUTE(TRIM(B6)," ",""))+1)</f>
        <v>24</v>
      </c>
      <c r="D6" s="19" t="str">
        <f aca="false">IF(C6=0,"Trống",IF(C6&gt;60,"Quá 60 chữ","Đạt"))</f>
        <v>Đạt</v>
      </c>
    </row>
    <row r="7" customFormat="false" ht="33.75" hidden="false" customHeight="true" outlineLevel="0" collapsed="false">
      <c r="A7" s="26" t="s">
        <v>227</v>
      </c>
      <c r="B7" s="9" t="s">
        <v>228</v>
      </c>
      <c r="C7" s="27" t="n">
        <f aca="false">IF(TRIM(B7)="",0,LEN(TRIM(B7))-LEN(SUBSTITUTE(TRIM(B7)," ",""))+1)</f>
        <v>31</v>
      </c>
      <c r="D7" s="19" t="str">
        <f aca="false">IF(C7=0,"Trống",IF(C7&gt;60,"Quá 60 chữ","Đạt"))</f>
        <v>Đạt</v>
      </c>
    </row>
    <row r="8" customFormat="false" ht="33.75" hidden="false" customHeight="true" outlineLevel="0" collapsed="false">
      <c r="A8" s="26" t="s">
        <v>229</v>
      </c>
      <c r="B8" s="9" t="s">
        <v>230</v>
      </c>
      <c r="C8" s="27" t="n">
        <f aca="false">IF(TRIM(B8)="",0,LEN(TRIM(B8))-LEN(SUBSTITUTE(TRIM(B8)," ",""))+1)</f>
        <v>16</v>
      </c>
      <c r="D8" s="19" t="str">
        <f aca="false">IF(C8=0,"Trống",IF(C8&gt;60,"Quá 60 chữ","Đạt"))</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231</v>
      </c>
    </row>
    <row r="2" customFormat="false" ht="15" hidden="false" customHeight="true" outlineLevel="0" collapsed="false">
      <c r="A2" s="3" t="s">
        <v>232</v>
      </c>
    </row>
    <row r="4" customFormat="false" ht="15" hidden="false" customHeight="true" outlineLevel="0" collapsed="false">
      <c r="A4" s="11" t="s">
        <v>233</v>
      </c>
      <c r="B4" s="11" t="s">
        <v>234</v>
      </c>
      <c r="C4" s="11" t="s">
        <v>220</v>
      </c>
    </row>
    <row r="5" customFormat="false" ht="15" hidden="false" customHeight="true" outlineLevel="0" collapsed="false">
      <c r="A5" s="12" t="s">
        <v>235</v>
      </c>
      <c r="B5" s="13" t="n">
        <f aca="false">COUNT('1_Danh sách việc'!M5:M14)</f>
        <v>7</v>
      </c>
      <c r="C5" s="13" t="str">
        <f aca="false">IF(B5&gt;=5,"Đạt","Xem lại")</f>
        <v>Đạt</v>
      </c>
    </row>
    <row r="6" customFormat="false" ht="15" hidden="false" customHeight="true" outlineLevel="0" collapsed="false">
      <c r="A6" s="12" t="s">
        <v>236</v>
      </c>
      <c r="B6" s="13" t="n">
        <f aca="false">COUNTIFS('1_Danh sách việc'!O5:O14,"Thiếu",'1_Danh sách việc'!P5:P14,"&lt;&gt;Không làm")</f>
        <v>0</v>
      </c>
      <c r="C6" s="13" t="str">
        <f aca="false">IF(B5=0,"",IF(B6=0,"Đạt","Xem lại"))</f>
        <v>Đạt</v>
      </c>
    </row>
    <row r="7" customFormat="false" ht="15" hidden="false" customHeight="true" outlineLevel="0" collapsed="false">
      <c r="A7" s="12" t="s">
        <v>237</v>
      </c>
      <c r="B7" s="13" t="n">
        <f aca="false">COUNTIF('2_Mức tự động'!M6:M8,"Có")</f>
        <v>3</v>
      </c>
      <c r="C7" s="13" t="str">
        <f aca="false">IF(B7&gt;=2,"Đạt","Xem lại")</f>
        <v>Đạt</v>
      </c>
    </row>
    <row r="8" customFormat="false" ht="15" hidden="false" customHeight="true" outlineLevel="0" collapsed="false">
      <c r="A8" s="12" t="s">
        <v>238</v>
      </c>
      <c r="B8" s="13" t="n">
        <f aca="false">COUNTA('3_Bảng lộ trình'!B5:B12)</f>
        <v>8</v>
      </c>
      <c r="C8" s="13" t="str">
        <f aca="false">IF(B8=8,"Đạt","Xem lại")</f>
        <v>Đạt</v>
      </c>
    </row>
    <row r="9" customFormat="false" ht="15" hidden="false" customHeight="true" outlineLevel="0" collapsed="false">
      <c r="A9" s="12" t="s">
        <v>239</v>
      </c>
      <c r="B9" s="13" t="str">
        <f aca="false">IF(AND(LEN('3_Bảng lộ trình'!B12)&gt;10,SUMPRODUCT(--ISNUMBER(SEARCH({"0","1","2","3","4","5","6","7","8","9"},'3_Bảng lộ trình'!B12)))&gt;0),"Có","Chưa")</f>
        <v>Có</v>
      </c>
      <c r="C9" s="13" t="str">
        <f aca="false">IF(B9="Có","Đạt","Xem lại")</f>
        <v>Đạt</v>
      </c>
    </row>
    <row r="10" customFormat="false" ht="15" hidden="false" customHeight="true" outlineLevel="0" collapsed="false">
      <c r="A10" s="12" t="s">
        <v>240</v>
      </c>
      <c r="B10" s="13" t="str">
        <f aca="false">IF(AND(LEN('3_Bảng lộ trình'!B11)&gt;10,SUMPRODUCT(--ISNUMBER(SEARCH({"0","1","2","3","4","5","6","7","8","9"},'3_Bảng lộ trình'!B11)))&gt;0),"Có","Chưa")</f>
        <v>Có</v>
      </c>
      <c r="C10" s="13" t="str">
        <f aca="false">IF(B10="Có","Đạt","Xem lại")</f>
        <v>Đạt</v>
      </c>
    </row>
    <row r="11" customFormat="false" ht="15" hidden="false" customHeight="true" outlineLevel="0" collapsed="false">
      <c r="A11" s="12" t="s">
        <v>241</v>
      </c>
      <c r="B11" s="13" t="n">
        <f aca="false">COUNTIF('5_Slide lãnh đạo'!D4:D8,"Đạt")</f>
        <v>5</v>
      </c>
      <c r="C11" s="13" t="str">
        <f aca="false">IF(B11=5,"Đạt","Xem lại")</f>
        <v>Đạt</v>
      </c>
    </row>
    <row r="12" customFormat="false" ht="15" hidden="false" customHeight="true" outlineLevel="0" collapsed="false">
      <c r="A12" s="12" t="s">
        <v>242</v>
      </c>
      <c r="B12" s="13" t="n">
        <f aca="false">COUNTIF('2_Mức tự động'!L5:L8,"Đạt")</f>
        <v>2</v>
      </c>
      <c r="C12" s="13" t="str">
        <f aca="false">IF(B12&gt;=1,"Đạt","Xem lại")</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243</v>
      </c>
    </row>
    <row r="2" customFormat="false" ht="15" hidden="false" customHeight="true" outlineLevel="0" collapsed="false">
      <c r="A2" s="3"/>
    </row>
    <row r="4" customFormat="false" ht="15" hidden="false" customHeight="true" outlineLevel="0" collapsed="false">
      <c r="A4" s="11" t="s">
        <v>244</v>
      </c>
      <c r="B4" s="11" t="s">
        <v>245</v>
      </c>
      <c r="C4" s="11" t="s">
        <v>246</v>
      </c>
      <c r="D4" s="11" t="s">
        <v>247</v>
      </c>
    </row>
    <row r="5" customFormat="false" ht="15" hidden="false" customHeight="true" outlineLevel="0" collapsed="false">
      <c r="A5" s="12" t="s">
        <v>248</v>
      </c>
      <c r="B5" s="1" t="n">
        <v>20</v>
      </c>
      <c r="C5" s="28" t="s">
        <v>249</v>
      </c>
      <c r="D5" s="29"/>
    </row>
    <row r="6" customFormat="false" ht="15" hidden="false" customHeight="true" outlineLevel="0" collapsed="false">
      <c r="A6" s="12" t="s">
        <v>250</v>
      </c>
      <c r="B6" s="1" t="n">
        <v>20</v>
      </c>
      <c r="C6" s="28" t="s">
        <v>251</v>
      </c>
      <c r="D6" s="29"/>
    </row>
    <row r="7" customFormat="false" ht="15" hidden="false" customHeight="true" outlineLevel="0" collapsed="false">
      <c r="A7" s="12" t="s">
        <v>252</v>
      </c>
      <c r="B7" s="1" t="n">
        <v>25</v>
      </c>
      <c r="C7" s="28" t="s">
        <v>253</v>
      </c>
      <c r="D7" s="29"/>
    </row>
    <row r="8" customFormat="false" ht="15" hidden="false" customHeight="true" outlineLevel="0" collapsed="false">
      <c r="A8" s="12" t="s">
        <v>254</v>
      </c>
      <c r="B8" s="1" t="n">
        <v>15</v>
      </c>
      <c r="C8" s="28" t="s">
        <v>255</v>
      </c>
      <c r="D8" s="29"/>
    </row>
    <row r="9" customFormat="false" ht="15" hidden="false" customHeight="true" outlineLevel="0" collapsed="false">
      <c r="A9" s="12" t="s">
        <v>256</v>
      </c>
      <c r="B9" s="1" t="n">
        <v>20</v>
      </c>
      <c r="C9" s="28" t="s">
        <v>257</v>
      </c>
      <c r="D9" s="29"/>
    </row>
    <row r="10" customFormat="false" ht="15" hidden="false" customHeight="true" outlineLevel="0" collapsed="false">
      <c r="A10" s="10" t="s">
        <v>258</v>
      </c>
      <c r="B10" s="1" t="n">
        <f aca="false">SUM(B5:B9)</f>
        <v>100</v>
      </c>
      <c r="D10" s="13" t="n">
        <f aca="false">SUM(D5:D9)</f>
        <v>0</v>
      </c>
    </row>
    <row r="12" customFormat="false" ht="15" hidden="false" customHeight="true" outlineLevel="0" collapsed="false">
      <c r="A12" s="10"/>
      <c r="D12" s="29"/>
    </row>
    <row r="15" customFormat="false" ht="15" hidden="false" customHeight="true" outlineLevel="0" collapsed="false">
      <c r="A15" s="30" t="s">
        <v>259</v>
      </c>
    </row>
    <row r="16" customFormat="false" ht="15" hidden="false" customHeight="true" outlineLevel="0" collapsed="false">
      <c r="A16" s="11" t="s">
        <v>244</v>
      </c>
      <c r="B16" s="11" t="s">
        <v>260</v>
      </c>
      <c r="C16" s="11" t="s">
        <v>261</v>
      </c>
      <c r="D16" s="11" t="s">
        <v>262</v>
      </c>
    </row>
    <row r="17" customFormat="false" ht="45.75" hidden="false" customHeight="true" outlineLevel="0" collapsed="false">
      <c r="A17" s="31" t="s">
        <v>263</v>
      </c>
      <c r="B17" s="32" t="s">
        <v>264</v>
      </c>
      <c r="C17" s="32" t="s">
        <v>265</v>
      </c>
      <c r="D17" s="32" t="s">
        <v>266</v>
      </c>
    </row>
    <row r="18" customFormat="false" ht="45.75" hidden="false" customHeight="true" outlineLevel="0" collapsed="false">
      <c r="A18" s="31" t="s">
        <v>267</v>
      </c>
      <c r="B18" s="32" t="s">
        <v>268</v>
      </c>
      <c r="C18" s="32" t="s">
        <v>269</v>
      </c>
      <c r="D18" s="32" t="s">
        <v>270</v>
      </c>
    </row>
    <row r="19" customFormat="false" ht="45.75" hidden="false" customHeight="true" outlineLevel="0" collapsed="false">
      <c r="A19" s="31" t="s">
        <v>271</v>
      </c>
      <c r="B19" s="32" t="s">
        <v>272</v>
      </c>
      <c r="C19" s="32" t="s">
        <v>273</v>
      </c>
      <c r="D19" s="32" t="s">
        <v>274</v>
      </c>
    </row>
    <row r="20" customFormat="false" ht="45.75" hidden="false" customHeight="true" outlineLevel="0" collapsed="false">
      <c r="A20" s="31" t="s">
        <v>275</v>
      </c>
      <c r="B20" s="32" t="s">
        <v>276</v>
      </c>
      <c r="C20" s="32" t="s">
        <v>277</v>
      </c>
      <c r="D20" s="32" t="s">
        <v>278</v>
      </c>
    </row>
    <row r="22" customFormat="false" ht="15" hidden="false" customHeight="true" outlineLevel="0" collapsed="false">
      <c r="A22" s="22" t="s">
        <v>279</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