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0_Hướng dẫn" sheetId="1" state="visible" r:id="rId3"/>
    <sheet name="0_Đầu vào" sheetId="2" state="visible" r:id="rId4"/>
    <sheet name="1_Danh sách việc" sheetId="3" state="visible" r:id="rId5"/>
    <sheet name="2_Mức tự động" sheetId="4" state="visible" r:id="rId6"/>
    <sheet name="3_Bảng lộ trình" sheetId="5" state="visible" r:id="rId7"/>
    <sheet name="4_Rà soát" sheetId="6" state="visible" r:id="rId8"/>
    <sheet name="5_Slide lãnh đạo" sheetId="7" state="visible" r:id="rId9"/>
    <sheet name="6_Tự kiểm tra" sheetId="8" state="visible" r:id="rId10"/>
    <sheet name="7_Thang điểm"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<sst xmlns="http://schemas.openxmlformats.org/spreadsheetml/2006/main" count="189" uniqueCount="183">
  <si>
    <t xml:space="preserve">CS13 · Lộ trình sản phẩm AI — File thực hành · Đề 2 · ChấmNhanh</t>
  </si>
  <si>
    <t xml:space="preserve">AI in Action · Track 1 · Khóa 4. FILE LÀM BÀI CỦA NHÓM · Đề 2 · ChấmNhanh. Dữ liệu của đề nằm trong file CS13_HoSoTinhHuong.pdf; file CS13_Roadmap_Mau.xlsx là bản mẫu đã điền (một sản phẩm khác) để xem cách điền.</t>
  </si>
  <si>
    <t xml:space="preserve">Luật chơi: CHỈ điền vào ô màu VÀNG. Ô màu XANH là công thức và đã được khóa. Bắt đầu bằng trang 0_Đầu vào (Nhiệm vụ 0: đọc hồ sơ tình huống).</t>
  </si>
  <si>
    <t xml:space="preserve">Thứ tự làm: 0 Đọc hồ sơ → 1 Danh sách việc → 2 Mức tự động → 3 Bảng lộ trình → 4 Rà soát → 6 Tự kiểm tra. Trang 5 (slide lãnh đạo) làm ở nhà.</t>
  </si>
  <si>
    <t xml:space="preserve">Số liệu kinh tế của đề đã điền sẵn ở trang 2, dòng 12–20. Không cần file của buổi nào khác: mọi dữ liệu cần dùng nằm trong hồ sơ tình huống, Đề 2.</t>
  </si>
  <si>
    <t xml:space="preserve">Lộ trình theo GIẢ THUYẾT: mỗi hạng mục phải trả lời 'Ta tin rằng làm X sẽ giúp Y đạt Z; biết đúng khi chỉ số W đạt ngưỡng V'.</t>
  </si>
  <si>
    <t xml:space="preserve">Tên file nộp: [Nhom]_CS13.xlsx · Nộp bản có Nhiệm vụ 1–4 lên VLearn trước 18:00 ngày 16/10. Trang 5 (Nhiệm vụ 5, làm ở nhà) nộp trước 23:59 ngày 19/10.</t>
  </si>
  <si>
    <t xml:space="preserve">Tuân thủ: Luật Trí tuệ nhân tạo số 134/2025/QH15 (hiệu lực 01/3/2026) chia hệ thống AI thành 3 mức rủi ro và yêu cầu người dùng được thông tin khi tương tác với AI. Đọc văn bản gốc trước khi ghi vào bài.</t>
  </si>
  <si>
    <t xml:space="preserve">Chú thích màu:</t>
  </si>
  <si>
    <t xml:space="preserve">Ô điền giả định (không khóa)</t>
  </si>
  <si>
    <t xml:space="preserve">Ô công thức (tự tính, đã khóa)</t>
  </si>
  <si>
    <t xml:space="preserve">0 · Nhiệm vụ 0: đọc hồ sơ tình huống, Đề 2 (5 phút)</t>
  </si>
  <si>
    <t xml:space="preserve">Cả nhóm đọc cùng một hồ sơ trước khi điền. Nhiệm vụ 0 không tính điểm; đánh dấu "Có" khi cả nhóm đã đọc mục đó.</t>
  </si>
  <si>
    <t xml:space="preserve">Mục trong hồ sơ tình huống</t>
  </si>
  <si>
    <t xml:space="preserve">Nhóm đã đọc chưa?</t>
  </si>
  <si>
    <t xml:space="preserve">Dùng ở đâu trong file</t>
  </si>
  <si>
    <t xml:space="preserve">Lưu ý</t>
  </si>
  <si>
    <t xml:space="preserve">Ghi chú của nhóm</t>
  </si>
  <si>
    <t xml:space="preserve">Số liệu kinh tế của đề (9 dòng)</t>
  </si>
  <si>
    <t xml:space="preserve">Đã điền sẵn ở trang 2, dòng 12–20: chi phí mỗi việc, biên lợi nhuận, điều kiện dừng</t>
  </si>
  <si>
    <t xml:space="preserve">Đọc để hiểu; không cần chép</t>
  </si>
  <si>
    <t xml:space="preserve">Bối cảnh, sản phẩm, "1 việc" là gì</t>
  </si>
  <si>
    <t xml:space="preserve">Giả thuyết và chỉ số ở trang 1</t>
  </si>
  <si>
    <t xml:space="preserve">Viết giả thuyết theo đúng "1 việc" của đề</t>
  </si>
  <si>
    <t xml:space="preserve">6 việc gợi ý</t>
  </si>
  <si>
    <t xml:space="preserve">Trang 1, cột B–C; nhóm được thêm việc của mình</t>
  </si>
  <si>
    <t xml:space="preserve">Giữ, bỏ hay đổi thứ tự đều phải ghi lý do ở cột Q</t>
  </si>
  <si>
    <t xml:space="preserve">Kết quả đánh giá đã có (bộ đề, cổng phát hành)</t>
  </si>
  <si>
    <t xml:space="preserve">Cổng đánh giá ở trang 2; việc cần làm trước ở trang 3</t>
  </si>
  <si>
    <t xml:space="preserve">Đề 2, 3: kết luận chưa phải "Phát hành" → có việc phải làm trước</t>
  </si>
  <si>
    <t xml:space="preserve">Chuyên gia và số giờ của họ</t>
  </si>
  <si>
    <t xml:space="preserve">Dòng "Điều kiện cần" ở trang 3; ô "Cần gì" ở trang 5</t>
  </si>
  <si>
    <t xml:space="preserve">Dẫn đúng số giờ trong hồ sơ</t>
  </si>
  <si>
    <t xml:space="preserve">Gợi ý về người duyệt và mức tự động</t>
  </si>
  <si>
    <t xml:space="preserve">Trang 2, cột H và I</t>
  </si>
  <si>
    <t xml:space="preserve">Đề 3: bác sĩ của bệnh viện không tính vào chi phí</t>
  </si>
  <si>
    <t xml:space="preserve">Số mục nhóm đã đọc</t>
  </si>
  <si>
    <t xml:space="preserve">Đủ 6/6 thì sang Nhiệm vụ 1.</t>
  </si>
  <si>
    <t xml:space="preserve">1 · Danh sách việc và chấm điểm ưu tiên</t>
  </si>
  <si>
    <t xml:space="preserve">Điểm = Độ phủ × Tác động × Mức tự tin ÷ Công sức × (0,5 + 0,5 × sẵn sàng trung bình của dữ liệu và đánh giá) × (1 − 0,5 × rủi ro bị 'nuốt')</t>
  </si>
  <si>
    <t xml:space="preserve">STT</t>
  </si>
  <si>
    <t xml:space="preserve">Việc</t>
  </si>
  <si>
    <t xml:space="preserve">Kết quả muốn đạt</t>
  </si>
  <si>
    <t xml:space="preserve">Giả thuyết (Ta tin rằng…)</t>
  </si>
  <si>
    <t xml:space="preserve">Chỉ số thành công và ngưỡng</t>
  </si>
  <si>
    <t xml:space="preserve">Độ phủ 1–5</t>
  </si>
  <si>
    <t xml:space="preserve">Tác động 1–5</t>
  </si>
  <si>
    <t xml:space="preserve">Mức tự tin 0,5 / 0,8 / 1</t>
  </si>
  <si>
    <t xml:space="preserve">Công sức 1–5</t>
  </si>
  <si>
    <t xml:space="preserve">Sẵn sàng dữ liệu 0–1</t>
  </si>
  <si>
    <t xml:space="preserve">Sẵn sàng đánh giá 0–1</t>
  </si>
  <si>
    <t xml:space="preserve">Rủi ro bị nuốt 0–1</t>
  </si>
  <si>
    <t xml:space="preserve">ĐIỂM</t>
  </si>
  <si>
    <t xml:space="preserve">Xếp hạng</t>
  </si>
  <si>
    <t xml:space="preserve">Chỉ số có con số?</t>
  </si>
  <si>
    <t xml:space="preserve">Tự làm / Mua / Chờ / Không làm</t>
  </si>
  <si>
    <t xml:space="preserve">Lý do (đổi thứ tự, chọn mua hay chờ…)</t>
  </si>
  <si>
    <t xml:space="preserve">2 · Lộ trình tăng dần mức tự động và cổng đánh giá</t>
  </si>
  <si>
    <t xml:space="preserve">Mỗi lần lên mức phải qua một cổng đánh giá bằng con số. Chưa qua cổng thì chưa lên mức, dù đã đến ngày. Mức tự động quyết định chi phí mỗi việc: xem cột H–L.</t>
  </si>
  <si>
    <t xml:space="preserve">Mức</t>
  </si>
  <si>
    <t xml:space="preserve">Tên mức</t>
  </si>
  <si>
    <t xml:space="preserve">AI làm gì</t>
  </si>
  <si>
    <t xml:space="preserve">Người làm gì</t>
  </si>
  <si>
    <t xml:space="preserve">Cổng đánh giá để lên mức này (chỉ số + ngưỡng + cỡ mẫu)</t>
  </si>
  <si>
    <t xml:space="preserve">Dữ liệu / hạ tầng / tuân thủ cần có</t>
  </si>
  <si>
    <t xml:space="preserve">Dự kiến (kế hoạch nội bộ, không phải cam kết)</t>
  </si>
  <si>
    <t xml:space="preserve">% việc có người duyệt</t>
  </si>
  <si>
    <t xml:space="preserve">Ai duyệt</t>
  </si>
  <si>
    <t xml:space="preserve">Chi phí mỗi việc (đ)</t>
  </si>
  <si>
    <t xml:space="preserve">Biên lợi nhuận gộp</t>
  </si>
  <si>
    <t xml:space="preserve">Biên ≥ 60%?</t>
  </si>
  <si>
    <t xml:space="preserve">Cổng có con số?</t>
  </si>
  <si>
    <t xml:space="preserve">Gợi ý</t>
  </si>
  <si>
    <t xml:space="preserve">Người của mình</t>
  </si>
  <si>
    <t xml:space="preserve">Hỗ trợ có duyệt</t>
  </si>
  <si>
    <t xml:space="preserve">Tự động một phần</t>
  </si>
  <si>
    <t xml:space="preserve">Tự động có giám sát</t>
  </si>
  <si>
    <t xml:space="preserve">SỐ LIỆU KINH TẾ CỦA ĐỀ (đã điền sẵn từ hồ sơ tình huống; sửa được nếu nhóm có lý do)</t>
  </si>
  <si>
    <t xml:space="preserve">Chi phí gọi AI / việc (đã tính gọi lại)</t>
  </si>
  <si>
    <t xml:space="preserve">Hồ sơ, bảng Số liệu kinh tế, dòng 1</t>
  </si>
  <si>
    <t xml:space="preserve">Hạ tầng + đánh giá + khác / việc</t>
  </si>
  <si>
    <t xml:space="preserve">dòng 2</t>
  </si>
  <si>
    <t xml:space="preserve">Số phút người duyệt / việc</t>
  </si>
  <si>
    <t xml:space="preserve">dòng 3</t>
  </si>
  <si>
    <t xml:space="preserve">Chi phí 1 giờ người duyệt (đ)</t>
  </si>
  <si>
    <t xml:space="preserve">dòng 4</t>
  </si>
  <si>
    <t xml:space="preserve">Doanh thu bình quân / khách / tháng (đ)</t>
  </si>
  <si>
    <t xml:space="preserve">dòng 5</t>
  </si>
  <si>
    <t xml:space="preserve">Số việc bình quân / khách / tháng</t>
  </si>
  <si>
    <t xml:space="preserve">dòng 6</t>
  </si>
  <si>
    <t xml:space="preserve">Biến nguy hiểm nhất</t>
  </si>
  <si>
    <t xml:space="preserve">Doanh thu bình quân (55% doanh thu đến từ 25% trung tâm lớn)</t>
  </si>
  <si>
    <t xml:space="preserve">dòng 7</t>
  </si>
  <si>
    <t xml:space="preserve">Điều kiện dừng đã chọn (theo đề)</t>
  </si>
  <si>
    <t xml:space="preserve">NẾU doanh thu bình quân sau chia dưới 3,95 triệu/trung tâm trong 2 tháng liên tiếp, trên ít nhất 15 trung tâm, THÌ dừng mở rộng</t>
  </si>
  <si>
    <t xml:space="preserve">dòng 8</t>
  </si>
  <si>
    <t xml:space="preserve">Kịch bản xấu hết tiền ở tháng</t>
  </si>
  <si>
    <t xml:space="preserve">dòng 9</t>
  </si>
  <si>
    <t xml:space="preserve">Ghi chú: người duyệt của mình là giáo viên duyệt bài do công ty trả tiền. Hai giáo viên giỏi chỉ khớp nhau khoảng 70% trong phạm vi 0,5 điểm: đừng đặt cổng cao hơn mức đó.</t>
  </si>
  <si>
    <t xml:space="preserve">3 · Bảng lộ trình theo giả thuyết: Bây giờ / Tiếp theo / Sau này</t>
  </si>
  <si>
    <t xml:space="preserve">Bây giờ = cam kết (0–3 tháng) · Tiếp theo = định hướng (3–6 tháng) · Sau này = khám phá (6–12 tháng). Càng xa càng ít chi tiết.</t>
  </si>
  <si>
    <t xml:space="preserve">Dòng</t>
  </si>
  <si>
    <t xml:space="preserve">Bây giờ (0–3 tháng)</t>
  </si>
  <si>
    <t xml:space="preserve">Tiếp theo (3–6 tháng)</t>
  </si>
  <si>
    <t xml:space="preserve">Sau này (6–12 tháng)</t>
  </si>
  <si>
    <t xml:space="preserve">Việc chính (lấy từ trang 1)</t>
  </si>
  <si>
    <t xml:space="preserve">Giả thuyết</t>
  </si>
  <si>
    <t xml:space="preserve">Mức tự động (trang 2)</t>
  </si>
  <si>
    <t xml:space="preserve">Cổng đánh giá</t>
  </si>
  <si>
    <t xml:space="preserve">Điều kiện cần: dữ liệu / hạ tầng / tuân thủ</t>
  </si>
  <si>
    <t xml:space="preserve">Căn cứ kinh tế (số liệu của đề và trang 2)</t>
  </si>
  <si>
    <t xml:space="preserve">Điều kiện dừng / đổi hướng</t>
  </si>
  <si>
    <t xml:space="preserve">4 · Lịch rà soát lộ trình</t>
  </si>
  <si>
    <t xml:space="preserve">Rà soát theo lịch VÀ mỗi khi có sự kiện. Ở mốc 30/60/90 chọn 1 trong 4: đi tiếp, sửa, đổi hướng, dừng.</t>
  </si>
  <si>
    <t xml:space="preserve">Mốc / sự kiện</t>
  </si>
  <si>
    <t xml:space="preserve">Nhìn vào chỉ số nào</t>
  </si>
  <si>
    <t xml:space="preserve">Quyết định có thể đưa ra</t>
  </si>
  <si>
    <t xml:space="preserve">Ai quyết</t>
  </si>
  <si>
    <t xml:space="preserve">Ngày 30</t>
  </si>
  <si>
    <t xml:space="preserve">Ngày 60</t>
  </si>
  <si>
    <t xml:space="preserve">Ngày 90</t>
  </si>
  <si>
    <t xml:space="preserve">Có mô hình mới / giá gọi AI giảm mạnh</t>
  </si>
  <si>
    <t xml:space="preserve">Nền tảng hoặc đối thủ ra tính năng tương tự</t>
  </si>
  <si>
    <t xml:space="preserve">Quy định pháp lý thay đổi</t>
  </si>
  <si>
    <t xml:space="preserve">Ngày 90 chưa đo được giá trị vòng đời thật: khách mới dùng 3 tháng. Chỉ dùng chỉ số đã có đủ dữ liệu.</t>
  </si>
  <si>
    <t xml:space="preserve">5 · Lộ trình 1 slide cho lãnh đạo</t>
  </si>
  <si>
    <t xml:space="preserve">Kết luận trước. Không quá 60 chữ mỗi ô (cột C tự đếm).</t>
  </si>
  <si>
    <t xml:space="preserve">Số chữ</t>
  </si>
  <si>
    <t xml:space="preserve">Đạt?</t>
  </si>
  <si>
    <t xml:space="preserve">Kết luận (1 câu)</t>
  </si>
  <si>
    <t xml:space="preserve">3 việc chính</t>
  </si>
  <si>
    <t xml:space="preserve">Cần gì (người, tiền, dữ liệu)</t>
  </si>
  <si>
    <t xml:space="preserve">Rủi ro lớn nhất &amp; cách xử lý</t>
  </si>
  <si>
    <t xml:space="preserve">Khi nào xem lại</t>
  </si>
  <si>
    <t xml:space="preserve">6 · Tự kiểm tra</t>
  </si>
  <si>
    <t xml:space="preserve">Chưa 'Đạt' thì quay lại sửa trước khi nộp file.</t>
  </si>
  <si>
    <t xml:space="preserve">Điểm kiểm tra</t>
  </si>
  <si>
    <t xml:space="preserve">Kết quả</t>
  </si>
  <si>
    <t xml:space="preserve">Số việc đã chấm điểm (cần ≥ 5)</t>
  </si>
  <si>
    <t xml:space="preserve">Việc được giữ lại mà thiếu giả thuyết hoặc chỉ số có con số (cần = 0)</t>
  </si>
  <si>
    <t xml:space="preserve">Số mức tự động có cổng đánh giá kèm con số (cần ≥ 2, không tính Mức 0)</t>
  </si>
  <si>
    <t xml:space="preserve">Bảng lộ trình: số ô tầng 'Bây giờ' đã điền (cần 8/8)</t>
  </si>
  <si>
    <t xml:space="preserve">Điều kiện dừng tầng 'Bây giờ' có con số</t>
  </si>
  <si>
    <t xml:space="preserve">Căn cứ kinh tế có con số (từ số liệu của đề)</t>
  </si>
  <si>
    <t xml:space="preserve">Slide lãnh đạo: số ô đạt (đủ chữ, không quá 60 chữ; cần 5)</t>
  </si>
  <si>
    <t xml:space="preserve">Số mức tự động có biên lợi nhuận ≥ 60% (cần ≥ 1)</t>
  </si>
  <si>
    <t xml:space="preserve">7 · Thang điểm sản phẩm (100 điểm)</t>
  </si>
  <si>
    <t xml:space="preserve">Tiêu chí</t>
  </si>
  <si>
    <t xml:space="preserve">Điểm</t>
  </si>
  <si>
    <t xml:space="preserve">Bài đạt khi</t>
  </si>
  <si>
    <t xml:space="preserve">Điểm nhóm</t>
  </si>
  <si>
    <t xml:space="preserve">Theo kết quả và giả thuyết</t>
  </si>
  <si>
    <t xml:space="preserve">Mỗi việc có giả thuyết, chỉ số và ngưỡng, không chỉ là tên tính năng</t>
  </si>
  <si>
    <t xml:space="preserve">Ưu tiên có căn cứ</t>
  </si>
  <si>
    <t xml:space="preserve">Bảng điểm ≥ 5 việc; có sẵn sàng dữ liệu, đánh giá và rủi ro bị nuốt; dùng số liệu kinh tế của đề; đổi thứ tự hoặc bỏ việc thì ghi lý do</t>
  </si>
  <si>
    <t xml:space="preserve">Mức tự động và cổng đánh giá</t>
  </si>
  <si>
    <t xml:space="preserve">≥ 2 mức có cổng bằng con số (chỉ số, ngưỡng, cỡ mẫu); có vai trò của người; có chi phí mỗi việc theo mức</t>
  </si>
  <si>
    <t xml:space="preserve">Điều kiện cần và rủi ro</t>
  </si>
  <si>
    <t xml:space="preserve">Nêu dữ liệu, hạ tầng, tuân thủ; điều kiện dừng đo được với quy mô thử nghiệm; có lịch rà soát</t>
  </si>
  <si>
    <t xml:space="preserve">Slide lãnh đạo</t>
  </si>
  <si>
    <t xml:space="preserve">Kết luận trước, ≤ 60 chữ mỗi ô, trả lời được "cần gì" và "khi nào xem lại"</t>
  </si>
  <si>
    <t xml:space="preserve">TỔNG</t>
  </si>
  <si>
    <t xml:space="preserve">THANG ĐIỂM TRÌNH BÀY (1–5 điểm mỗi tiêu chí)</t>
  </si>
  <si>
    <t xml:space="preserve">Mức 1</t>
  </si>
  <si>
    <t xml:space="preserve">Mức 3</t>
  </si>
  <si>
    <t xml:space="preserve">Mức 5</t>
  </si>
  <si>
    <t xml:space="preserve">Rõ ràng</t>
  </si>
  <si>
    <t xml:space="preserve">Câu đầu chưa có kết luận; người nghe phải đoán nhóm làm gì trước</t>
  </si>
  <si>
    <t xml:space="preserve">Có kết luận nhưng nói sau phần mở đầu, hoặc thiếu mốc quyết định</t>
  </si>
  <si>
    <t xml:space="preserve">Câu đầu có việc làm trước, mục tiêu bằng số và ngày quyết định</t>
  </si>
  <si>
    <t xml:space="preserve">Bằng chứng</t>
  </si>
  <si>
    <t xml:space="preserve">Không có cổng đánh giá, hoặc số không có nguồn</t>
  </si>
  <si>
    <t xml:space="preserve">Có cổng nhưng thiếu cỡ mẫu hoặc căn cứ kinh tế</t>
  </si>
  <si>
    <t xml:space="preserve">Cổng đủ chỉ số, ngưỡng, cỡ mẫu; căn cứ kinh tế lấy từ số liệu của đề</t>
  </si>
  <si>
    <t xml:space="preserve">Trả lời phản biện</t>
  </si>
  <si>
    <t xml:space="preserve">Né câu hỏi hoặc trả lời chung chung</t>
  </si>
  <si>
    <t xml:space="preserve">Trả lời đúng ý nhưng không dẫn số</t>
  </si>
  <si>
    <t xml:space="preserve">Trả lời thẳng, dẫn đúng con số trong file</t>
  </si>
  <si>
    <t xml:space="preserve">Đúng giờ</t>
  </si>
  <si>
    <t xml:space="preserve">Quá 4 phút</t>
  </si>
  <si>
    <t xml:space="preserve">Từ 3 đến 4 phút</t>
  </si>
  <si>
    <t xml:space="preserve">Không quá 3 phút</t>
  </si>
  <si>
    <t xml:space="preserve">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</si>
</sst>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numFmts count="6">
    <numFmt numFmtId="164" formatCode="General"/>
    <numFmt numFmtId="165" formatCode="General"/>
    <numFmt numFmtId="166" formatCode="0%"/>
    <numFmt numFmtId="167" formatCode="#,##0;[RED]\-#,##0"/>
    <numFmt numFmtId="168" formatCode="0.0"/>
    <numFmt numFmtId="169" formatCode="0"/>
  </numFmts>
  <fonts count="11">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95959"/>
      <name val="Cambria"/>
      <family val="0"/>
      <charset val="1"/>
    </font>
    <font>
      <b val="true"/>
      <sz val="11"/>
      <color rgb="FFFFFFFF"/>
      <name val="Cambria"/>
      <family val="0"/>
      <charset val="1"/>
    </font>
    <font>
      <b val="true"/>
      <sz val="11"/>
      <name val="Cambria"/>
      <family val="0"/>
      <charset val="1"/>
    </font>
    <font>
      <sz val="11"/>
      <name val="Calibri"/>
      <family val="0"/>
      <charset val="1"/>
    </font>
    <font>
      <i val="true"/>
      <sz val="10"/>
      <color rgb="FF595959"/>
      <name val="Calibri"/>
      <family val="0"/>
      <charset val="1"/>
    </font>
    <font>
      <b val="true"/>
      <sz val="12"/>
      <name val="Cambria"/>
      <family val="0"/>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2" borderId="1" xfId="0" applyFont="false" applyBorder="true" applyAlignment="true" applyProtection="true">
      <alignment horizontal="general" vertical="top" textRotation="0" wrapText="true" indent="0" shrinkToFit="false"/>
      <protection locked="fals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5" fontId="0" fillId="3" borderId="1" xfId="0" applyFont="false" applyBorder="true" applyAlignment="true" applyProtection="false">
      <alignment horizontal="general" vertical="top" textRotation="0" wrapText="tru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false" hidden="false"/>
    </xf>
    <xf numFmtId="166" fontId="8" fillId="2" borderId="0" xfId="0" applyFont="true" applyBorder="false" applyAlignment="true" applyProtection="true">
      <alignment horizontal="general" vertical="bottom" textRotation="0" wrapText="false" indent="0" shrinkToFit="false"/>
      <protection locked="false" hidden="false"/>
    </xf>
    <xf numFmtId="167" fontId="8" fillId="3" borderId="0" xfId="0" applyFont="true" applyBorder="false" applyAlignment="true" applyProtection="false">
      <alignment horizontal="general" vertical="bottom" textRotation="0" wrapText="false" indent="0" shrinkToFit="false"/>
      <protection locked="true" hidden="false"/>
    </xf>
    <xf numFmtId="166" fontId="8" fillId="3"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8" fillId="2" borderId="0" xfId="0" applyFont="true" applyBorder="false" applyAlignment="true" applyProtection="true">
      <alignment horizontal="general" vertical="bottom" textRotation="0" wrapText="false" indent="0" shrinkToFit="false"/>
      <protection locked="fals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8" fillId="2" borderId="0" xfId="0" applyFont="true" applyBorder="false" applyAlignment="true" applyProtection="true">
      <alignment horizontal="general" vertical="bottom" textRotation="0" wrapText="false" indent="0" shrinkToFit="false"/>
      <protection locked="false" hidden="false"/>
    </xf>
    <xf numFmtId="169" fontId="8" fillId="2" borderId="0" xfId="0" applyFont="true" applyBorder="false" applyAlignment="true" applyProtection="true">
      <alignment horizontal="general" vertical="bottom" textRotation="0" wrapText="false" indent="0" shrinkToFit="false"/>
      <protection locked="fals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9" fontId="8" fillId="3"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1" t="s">
        <v>2</v>
      </c>
    </row>
    <row r="5" customFormat="false" ht="15" hidden="false" customHeight="true" outlineLevel="0" collapsed="false">
      <c r="A5" s="1" t="s">
        <v>3</v>
      </c>
    </row>
    <row r="6" customFormat="false" ht="15" hidden="false" customHeight="true" outlineLevel="0" collapsed="false">
      <c r="A6" s="1" t="s">
        <v>4</v>
      </c>
    </row>
    <row r="7" customFormat="false" ht="15" hidden="false" customHeight="true" outlineLevel="0" collapsed="false">
      <c r="A7" s="1" t="s">
        <v>5</v>
      </c>
    </row>
    <row r="8" customFormat="false" ht="15" hidden="false" customHeight="true" outlineLevel="0" collapsed="false">
      <c r="A8" s="1" t="s">
        <v>6</v>
      </c>
    </row>
    <row r="9" customFormat="false" ht="15" hidden="false" customHeight="true" outlineLevel="0" collapsed="false">
      <c r="A9" s="1" t="s">
        <v>7</v>
      </c>
    </row>
    <row r="11" customFormat="false" ht="15" hidden="false" customHeight="true" outlineLevel="0" collapsed="false">
      <c r="A11" s="1" t="s">
        <v>8</v>
      </c>
    </row>
    <row r="12" customFormat="false" ht="15" hidden="false" customHeight="true" outlineLevel="0" collapsed="false">
      <c r="A12" s="4" t="s">
        <v>9</v>
      </c>
    </row>
    <row r="13" customFormat="false" ht="15" hidden="false" customHeight="true" outlineLevel="0" collapsed="false">
      <c r="A13" s="5" t="s">
        <v>10</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4" min="3" style="1" width="46"/>
    <col collapsed="false" customWidth="true" hidden="false" outlineLevel="0" max="5" min="5" style="1" width="36"/>
  </cols>
  <sheetData>
    <row r="1" customFormat="false" ht="17.25" hidden="false" customHeight="true" outlineLevel="0" collapsed="false">
      <c r="A1" s="2" t="s">
        <v>11</v>
      </c>
    </row>
    <row r="2" customFormat="false" ht="15" hidden="false" customHeight="true" outlineLevel="0" collapsed="false">
      <c r="A2" s="3" t="s">
        <v>12</v>
      </c>
    </row>
    <row r="4" customFormat="false" ht="26.25" hidden="false" customHeight="true" outlineLevel="0" collapsed="false">
      <c r="A4" s="6" t="s">
        <v>13</v>
      </c>
      <c r="B4" s="6" t="s">
        <v>14</v>
      </c>
      <c r="C4" s="6" t="s">
        <v>15</v>
      </c>
      <c r="D4" s="6" t="s">
        <v>16</v>
      </c>
      <c r="E4" s="6" t="s">
        <v>17</v>
      </c>
    </row>
    <row r="5" customFormat="false" ht="33.75" hidden="false" customHeight="true" outlineLevel="0" collapsed="false">
      <c r="A5" s="7" t="s">
        <v>18</v>
      </c>
      <c r="B5" s="8"/>
      <c r="C5" s="7" t="s">
        <v>19</v>
      </c>
      <c r="D5" s="7" t="s">
        <v>20</v>
      </c>
      <c r="E5" s="8"/>
    </row>
    <row r="6" customFormat="false" ht="33.75" hidden="false" customHeight="true" outlineLevel="0" collapsed="false">
      <c r="A6" s="7" t="s">
        <v>21</v>
      </c>
      <c r="B6" s="8"/>
      <c r="C6" s="7" t="s">
        <v>22</v>
      </c>
      <c r="D6" s="7" t="s">
        <v>23</v>
      </c>
      <c r="E6" s="8"/>
    </row>
    <row r="7" customFormat="false" ht="33.75" hidden="false" customHeight="true" outlineLevel="0" collapsed="false">
      <c r="A7" s="7" t="s">
        <v>24</v>
      </c>
      <c r="B7" s="8"/>
      <c r="C7" s="7" t="s">
        <v>25</v>
      </c>
      <c r="D7" s="7" t="s">
        <v>26</v>
      </c>
      <c r="E7" s="8"/>
    </row>
    <row r="8" customFormat="false" ht="33.75" hidden="false" customHeight="true" outlineLevel="0" collapsed="false">
      <c r="A8" s="7" t="s">
        <v>27</v>
      </c>
      <c r="B8" s="8"/>
      <c r="C8" s="7" t="s">
        <v>28</v>
      </c>
      <c r="D8" s="7" t="s">
        <v>29</v>
      </c>
      <c r="E8" s="8"/>
    </row>
    <row r="9" customFormat="false" ht="33.75" hidden="false" customHeight="true" outlineLevel="0" collapsed="false">
      <c r="A9" s="7" t="s">
        <v>30</v>
      </c>
      <c r="B9" s="8"/>
      <c r="C9" s="7" t="s">
        <v>31</v>
      </c>
      <c r="D9" s="7" t="s">
        <v>32</v>
      </c>
      <c r="E9" s="8"/>
    </row>
    <row r="10" customFormat="false" ht="33.75" hidden="false" customHeight="true" outlineLevel="0" collapsed="false">
      <c r="A10" s="7" t="s">
        <v>33</v>
      </c>
      <c r="B10" s="8"/>
      <c r="C10" s="7" t="s">
        <v>34</v>
      </c>
      <c r="D10" s="7" t="s">
        <v>35</v>
      </c>
      <c r="E10" s="8"/>
    </row>
    <row r="12" customFormat="false" ht="15" hidden="false" customHeight="true" outlineLevel="0" collapsed="false">
      <c r="A12" s="9" t="s">
        <v>36</v>
      </c>
      <c r="B12" s="5" t="n">
        <f aca="false">COUNTIF(B5:B10,"Có")</f>
        <v>0</v>
      </c>
    </row>
    <row r="13" customFormat="false" ht="15" hidden="false" customHeight="true" outlineLevel="0" collapsed="false">
      <c r="A13" s="3" t="s">
        <v>37</v>
      </c>
    </row>
  </sheetData>
  <sheetProtection sheet="true" formatColumns="false" formatRows="false"/>
  <dataValidations count="1">
    <dataValidation allowBlank="true" errorStyle="stop" operator="between" showDropDown="false" showErrorMessage="false" showInputMessage="false" sqref="B5:B10" type="list">
      <formula1>"Có,Chưa"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28"/>
    <col collapsed="false" customWidth="true" hidden="false" outlineLevel="0" max="4" min="4" style="1" width="38"/>
    <col collapsed="false" customWidth="true" hidden="false" outlineLevel="0" max="5" min="5" style="1" width="32"/>
    <col collapsed="false" customWidth="true" hidden="false" outlineLevel="0" max="7" min="6" style="1" width="8"/>
    <col collapsed="false" customWidth="true" hidden="false" outlineLevel="0" max="8" min="8" style="1" width="11"/>
    <col collapsed="false" customWidth="true" hidden="false" outlineLevel="0" max="9" min="9" style="1" width="8"/>
    <col collapsed="false" customWidth="true" hidden="false" outlineLevel="0" max="10" min="10" style="1" width="11"/>
    <col collapsed="false" customWidth="true" hidden="false" outlineLevel="0" max="11" min="11" style="1" width="10"/>
    <col collapsed="false" customWidth="true" hidden="false" outlineLevel="0" max="12" min="12" style="1" width="13"/>
    <col collapsed="false" customWidth="true" hidden="false" outlineLevel="0" max="14" min="13" style="1" width="10"/>
    <col collapsed="false" customWidth="true" hidden="false" outlineLevel="0" max="15" min="15" style="1" width="12"/>
    <col collapsed="false" customWidth="true" hidden="false" outlineLevel="0" max="16" min="16" style="1" width="14"/>
    <col collapsed="false" customWidth="true" hidden="false" outlineLevel="0" max="17" min="17" style="1" width="58"/>
  </cols>
  <sheetData>
    <row r="1" customFormat="false" ht="17.25" hidden="false" customHeight="true" outlineLevel="0" collapsed="false">
      <c r="A1" s="2" t="s">
        <v>38</v>
      </c>
    </row>
    <row r="2" customFormat="false" ht="15" hidden="false" customHeight="true" outlineLevel="0" collapsed="false">
      <c r="A2" s="3" t="s">
        <v>39</v>
      </c>
    </row>
    <row r="4" customFormat="false" ht="39" hidden="false" customHeight="true" outlineLevel="0" collapsed="false">
      <c r="A4" s="10" t="s">
        <v>40</v>
      </c>
      <c r="B4" s="10" t="s">
        <v>41</v>
      </c>
      <c r="C4" s="10" t="s">
        <v>42</v>
      </c>
      <c r="D4" s="10" t="s">
        <v>43</v>
      </c>
      <c r="E4" s="10" t="s">
        <v>44</v>
      </c>
      <c r="F4" s="10" t="s">
        <v>45</v>
      </c>
      <c r="G4" s="10" t="s">
        <v>46</v>
      </c>
      <c r="H4" s="10" t="s">
        <v>47</v>
      </c>
      <c r="I4" s="10" t="s">
        <v>48</v>
      </c>
      <c r="J4" s="10" t="s">
        <v>49</v>
      </c>
      <c r="K4" s="10" t="s">
        <v>50</v>
      </c>
      <c r="L4" s="10" t="s">
        <v>51</v>
      </c>
      <c r="M4" s="10" t="s">
        <v>52</v>
      </c>
      <c r="N4" s="10" t="s">
        <v>53</v>
      </c>
      <c r="O4" s="10" t="s">
        <v>54</v>
      </c>
      <c r="P4" s="10" t="s">
        <v>55</v>
      </c>
      <c r="Q4" s="10" t="s">
        <v>56</v>
      </c>
    </row>
    <row r="5" customFormat="false" ht="34.5" hidden="false" customHeight="true" outlineLevel="0" collapsed="false">
      <c r="A5" s="11" t="n">
        <v>1</v>
      </c>
      <c r="B5" s="8"/>
      <c r="C5" s="8"/>
      <c r="D5" s="8"/>
      <c r="E5" s="8"/>
      <c r="F5" s="8"/>
      <c r="G5" s="8"/>
      <c r="H5" s="8"/>
      <c r="I5" s="8"/>
      <c r="J5" s="8"/>
      <c r="K5" s="8"/>
      <c r="L5" s="8"/>
      <c r="M5" s="12" t="str">
        <f aca="false">IF(COUNT(F5:L5)&lt;7,"",ROUND(F5*G5*H5/I5*(0.5+0.5*AVERAGE(J5:K5))*(1-0.5*L5),2))</f>
        <v/>
      </c>
      <c r="N5" s="12" t="str">
        <f aca="false">IF(M5="","",RANK(M5,$M$5:$M$14))</f>
        <v/>
      </c>
      <c r="O5" s="13" t="str">
        <f aca="false">IF(B5="","",IF(OR(D5="",E5=""),"Thiếu",IF(SUMPRODUCT(--ISNUMBER(SEARCH({"0","1","2","3","4","5","6","7","8","9"},E5)))&gt;0,"Có","Thiếu")))</f>
        <v/>
      </c>
      <c r="P5" s="14"/>
      <c r="Q5" s="14"/>
    </row>
    <row r="6" customFormat="false" ht="23.25" hidden="false" customHeight="true" outlineLevel="0" collapsed="false">
      <c r="A6" s="11" t="n">
        <v>2</v>
      </c>
      <c r="B6" s="8"/>
      <c r="C6" s="8"/>
      <c r="D6" s="8"/>
      <c r="E6" s="8"/>
      <c r="F6" s="8"/>
      <c r="G6" s="8"/>
      <c r="H6" s="8"/>
      <c r="I6" s="8"/>
      <c r="J6" s="8"/>
      <c r="K6" s="8"/>
      <c r="L6" s="8"/>
      <c r="M6" s="12" t="str">
        <f aca="false">IF(COUNT(F6:L6)&lt;7,"",ROUND(F6*G6*H6/I6*(0.5+0.5*AVERAGE(J6:K6))*(1-0.5*L6),2))</f>
        <v/>
      </c>
      <c r="N6" s="12" t="str">
        <f aca="false">IF(M6="","",RANK(M6,$M$5:$M$14))</f>
        <v/>
      </c>
      <c r="O6" s="13" t="str">
        <f aca="false">IF(B6="","",IF(OR(D6="",E6=""),"Thiếu",IF(SUMPRODUCT(--ISNUMBER(SEARCH({"0","1","2","3","4","5","6","7","8","9"},E6)))&gt;0,"Có","Thiếu")))</f>
        <v/>
      </c>
      <c r="P6" s="14"/>
      <c r="Q6" s="14"/>
    </row>
    <row r="7" customFormat="false" ht="23.25" hidden="false" customHeight="true" outlineLevel="0" collapsed="false">
      <c r="A7" s="11" t="n">
        <v>3</v>
      </c>
      <c r="B7" s="8"/>
      <c r="C7" s="8"/>
      <c r="D7" s="8"/>
      <c r="E7" s="8"/>
      <c r="F7" s="8"/>
      <c r="G7" s="8"/>
      <c r="H7" s="8"/>
      <c r="I7" s="8"/>
      <c r="J7" s="8"/>
      <c r="K7" s="8"/>
      <c r="L7" s="8"/>
      <c r="M7" s="12" t="str">
        <f aca="false">IF(COUNT(F7:L7)&lt;7,"",ROUND(F7*G7*H7/I7*(0.5+0.5*AVERAGE(J7:K7))*(1-0.5*L7),2))</f>
        <v/>
      </c>
      <c r="N7" s="12" t="str">
        <f aca="false">IF(M7="","",RANK(M7,$M$5:$M$14))</f>
        <v/>
      </c>
      <c r="O7" s="13" t="str">
        <f aca="false">IF(B7="","",IF(OR(D7="",E7=""),"Thiếu",IF(SUMPRODUCT(--ISNUMBER(SEARCH({"0","1","2","3","4","5","6","7","8","9"},E7)))&gt;0,"Có","Thiếu")))</f>
        <v/>
      </c>
      <c r="P7" s="14"/>
      <c r="Q7" s="14"/>
    </row>
    <row r="8" customFormat="false" ht="23.25" hidden="false" customHeight="true" outlineLevel="0" collapsed="false">
      <c r="A8" s="11" t="n">
        <v>4</v>
      </c>
      <c r="B8" s="8"/>
      <c r="C8" s="8"/>
      <c r="D8" s="8"/>
      <c r="E8" s="8"/>
      <c r="F8" s="8"/>
      <c r="G8" s="8"/>
      <c r="H8" s="8"/>
      <c r="I8" s="8"/>
      <c r="J8" s="8"/>
      <c r="K8" s="8"/>
      <c r="L8" s="8"/>
      <c r="M8" s="12" t="str">
        <f aca="false">IF(COUNT(F8:L8)&lt;7,"",ROUND(F8*G8*H8/I8*(0.5+0.5*AVERAGE(J8:K8))*(1-0.5*L8),2))</f>
        <v/>
      </c>
      <c r="N8" s="12" t="str">
        <f aca="false">IF(M8="","",RANK(M8,$M$5:$M$14))</f>
        <v/>
      </c>
      <c r="O8" s="13" t="str">
        <f aca="false">IF(B8="","",IF(OR(D8="",E8=""),"Thiếu",IF(SUMPRODUCT(--ISNUMBER(SEARCH({"0","1","2","3","4","5","6","7","8","9"},E8)))&gt;0,"Có","Thiếu")))</f>
        <v/>
      </c>
      <c r="P8" s="14"/>
      <c r="Q8" s="14"/>
    </row>
    <row r="9" customFormat="false" ht="23.25" hidden="false" customHeight="true" outlineLevel="0" collapsed="false">
      <c r="A9" s="11" t="n">
        <v>5</v>
      </c>
      <c r="B9" s="8"/>
      <c r="C9" s="8"/>
      <c r="D9" s="8"/>
      <c r="E9" s="8"/>
      <c r="F9" s="8"/>
      <c r="G9" s="8"/>
      <c r="H9" s="8"/>
      <c r="I9" s="8"/>
      <c r="J9" s="8"/>
      <c r="K9" s="8"/>
      <c r="L9" s="8"/>
      <c r="M9" s="12" t="str">
        <f aca="false">IF(COUNT(F9:L9)&lt;7,"",ROUND(F9*G9*H9/I9*(0.5+0.5*AVERAGE(J9:K9))*(1-0.5*L9),2))</f>
        <v/>
      </c>
      <c r="N9" s="12" t="str">
        <f aca="false">IF(M9="","",RANK(M9,$M$5:$M$14))</f>
        <v/>
      </c>
      <c r="O9" s="13" t="str">
        <f aca="false">IF(B9="","",IF(OR(D9="",E9=""),"Thiếu",IF(SUMPRODUCT(--ISNUMBER(SEARCH({"0","1","2","3","4","5","6","7","8","9"},E9)))&gt;0,"Có","Thiếu")))</f>
        <v/>
      </c>
      <c r="P9" s="14"/>
      <c r="Q9" s="14"/>
    </row>
    <row r="10" customFormat="false" ht="23.25" hidden="false" customHeight="true" outlineLevel="0" collapsed="false">
      <c r="A10" s="11" t="n">
        <v>6</v>
      </c>
      <c r="B10" s="8"/>
      <c r="C10" s="8"/>
      <c r="D10" s="8"/>
      <c r="E10" s="8"/>
      <c r="F10" s="8"/>
      <c r="G10" s="8"/>
      <c r="H10" s="8"/>
      <c r="I10" s="8"/>
      <c r="J10" s="8"/>
      <c r="K10" s="8"/>
      <c r="L10" s="8"/>
      <c r="M10" s="12" t="str">
        <f aca="false">IF(COUNT(F10:L10)&lt;7,"",ROUND(F10*G10*H10/I10*(0.5+0.5*AVERAGE(J10:K10))*(1-0.5*L10),2))</f>
        <v/>
      </c>
      <c r="N10" s="12" t="str">
        <f aca="false">IF(M10="","",RANK(M10,$M$5:$M$14))</f>
        <v/>
      </c>
      <c r="O10" s="13" t="str">
        <f aca="false">IF(B10="","",IF(OR(D10="",E10=""),"Thiếu",IF(SUMPRODUCT(--ISNUMBER(SEARCH({"0","1","2","3","4","5","6","7","8","9"},E10)))&gt;0,"Có","Thiếu")))</f>
        <v/>
      </c>
      <c r="P10" s="14"/>
      <c r="Q10" s="14"/>
    </row>
    <row r="11" customFormat="false" ht="15" hidden="false" customHeight="true" outlineLevel="0" collapsed="false">
      <c r="A11" s="11" t="n">
        <v>7</v>
      </c>
      <c r="B11" s="8"/>
      <c r="C11" s="8"/>
      <c r="D11" s="8"/>
      <c r="E11" s="8"/>
      <c r="F11" s="8"/>
      <c r="G11" s="8"/>
      <c r="H11" s="8"/>
      <c r="I11" s="8"/>
      <c r="J11" s="8"/>
      <c r="K11" s="8"/>
      <c r="L11" s="8"/>
      <c r="M11" s="12" t="str">
        <f aca="false">IF(COUNT(F11:L11)&lt;7,"",ROUND(F11*G11*H11/I11*(0.5+0.5*AVERAGE(J11:K11))*(1-0.5*L11),2))</f>
        <v/>
      </c>
      <c r="N11" s="12" t="str">
        <f aca="false">IF(M11="","",RANK(M11,$M$5:$M$14))</f>
        <v/>
      </c>
      <c r="O11" s="13" t="str">
        <f aca="false">IF(B11="","",IF(OR(D11="",E11=""),"Thiếu",IF(SUMPRODUCT(--ISNUMBER(SEARCH({"0","1","2","3","4","5","6","7","8","9"},E11)))&gt;0,"Có","Thiếu")))</f>
        <v/>
      </c>
      <c r="P11" s="14"/>
      <c r="Q11" s="14"/>
    </row>
    <row r="12" customFormat="false" ht="15" hidden="false" customHeight="true" outlineLevel="0" collapsed="false">
      <c r="A12" s="11" t="n">
        <v>8</v>
      </c>
      <c r="B12" s="8"/>
      <c r="C12" s="8"/>
      <c r="D12" s="8"/>
      <c r="E12" s="8"/>
      <c r="F12" s="8"/>
      <c r="G12" s="8"/>
      <c r="H12" s="8"/>
      <c r="I12" s="8"/>
      <c r="J12" s="8"/>
      <c r="K12" s="8"/>
      <c r="L12" s="8"/>
      <c r="M12" s="12" t="str">
        <f aca="false">IF(COUNT(F12:L12)&lt;7,"",ROUND(F12*G12*H12/I12*(0.5+0.5*AVERAGE(J12:K12))*(1-0.5*L12),2))</f>
        <v/>
      </c>
      <c r="N12" s="12" t="str">
        <f aca="false">IF(M12="","",RANK(M12,$M$5:$M$14))</f>
        <v/>
      </c>
      <c r="O12" s="13" t="str">
        <f aca="false">IF(B12="","",IF(OR(D12="",E12=""),"Thiếu",IF(SUMPRODUCT(--ISNUMBER(SEARCH({"0","1","2","3","4","5","6","7","8","9"},E12)))&gt;0,"Có","Thiếu")))</f>
        <v/>
      </c>
      <c r="P12" s="14"/>
      <c r="Q12" s="14"/>
    </row>
    <row r="13" customFormat="false" ht="15" hidden="false" customHeight="true" outlineLevel="0" collapsed="false">
      <c r="A13" s="11" t="n">
        <v>9</v>
      </c>
      <c r="B13" s="8"/>
      <c r="C13" s="8"/>
      <c r="D13" s="8"/>
      <c r="E13" s="8"/>
      <c r="F13" s="8"/>
      <c r="G13" s="8"/>
      <c r="H13" s="8"/>
      <c r="I13" s="8"/>
      <c r="J13" s="8"/>
      <c r="K13" s="8"/>
      <c r="L13" s="8"/>
      <c r="M13" s="12" t="str">
        <f aca="false">IF(COUNT(F13:L13)&lt;7,"",ROUND(F13*G13*H13/I13*(0.5+0.5*AVERAGE(J13:K13))*(1-0.5*L13),2))</f>
        <v/>
      </c>
      <c r="N13" s="12" t="str">
        <f aca="false">IF(M13="","",RANK(M13,$M$5:$M$14))</f>
        <v/>
      </c>
      <c r="O13" s="13" t="str">
        <f aca="false">IF(B13="","",IF(OR(D13="",E13=""),"Thiếu",IF(SUMPRODUCT(--ISNUMBER(SEARCH({"0","1","2","3","4","5","6","7","8","9"},E13)))&gt;0,"Có","Thiếu")))</f>
        <v/>
      </c>
      <c r="P13" s="14"/>
      <c r="Q13" s="14"/>
    </row>
    <row r="14" customFormat="false" ht="15" hidden="false" customHeight="true" outlineLevel="0" collapsed="false">
      <c r="A14" s="11" t="n">
        <v>10</v>
      </c>
      <c r="B14" s="8"/>
      <c r="C14" s="8"/>
      <c r="D14" s="8"/>
      <c r="E14" s="8"/>
      <c r="F14" s="8"/>
      <c r="G14" s="8"/>
      <c r="H14" s="8"/>
      <c r="I14" s="8"/>
      <c r="J14" s="8"/>
      <c r="K14" s="8"/>
      <c r="L14" s="8"/>
      <c r="M14" s="12" t="str">
        <f aca="false">IF(COUNT(F14:L14)&lt;7,"",ROUND(F14*G14*H14/I14*(0.5+0.5*AVERAGE(J14:K14))*(1-0.5*L14),2))</f>
        <v/>
      </c>
      <c r="N14" s="12" t="str">
        <f aca="false">IF(M14="","",RANK(M14,$M$5:$M$14))</f>
        <v/>
      </c>
      <c r="O14" s="13" t="str">
        <f aca="false">IF(B14="","",IF(OR(D14="",E14=""),"Thiếu",IF(SUMPRODUCT(--ISNUMBER(SEARCH({"0","1","2","3","4","5","6","7","8","9"},E14)))&gt;0,"Có","Thiếu")))</f>
        <v/>
      </c>
      <c r="P14" s="14"/>
      <c r="Q14" s="14"/>
    </row>
  </sheetData>
  <sheetProtection sheet="true" formatColumns="false" formatRows="false"/>
  <dataValidations count="4">
    <dataValidation allowBlank="true" error="Nhập số nguyên từ 1 đến 5." errorStyle="stop" errorTitle="Ngoài thang điểm" operator="between" showDropDown="false" showErrorMessage="true" showInputMessage="false" sqref="F5:G14 I5:I14" type="whole">
      <formula1>1</formula1>
      <formula2>5</formula2>
    </dataValidation>
    <dataValidation allowBlank="true" error="Dùng 0,5 (đoán), 0,8 (có dấu hiệu) hoặc 1 (có số liệu)." errorStyle="stop" errorTitle="Mức tự tin" operator="between" showDropDown="false" showErrorMessage="true" showInputMessage="false" sqref="H5:H14" type="decimal">
      <formula1>0.5</formula1>
      <formula2>1</formula2>
    </dataValidation>
    <dataValidation allowBlank="true" error="Nhập số từ 0 đến 1, ví dụ 0,6." errorStyle="stop" errorTitle="Ngoài thang 0–1" operator="between" showDropDown="false" showErrorMessage="true" showInputMessage="false" sqref="J5:L14" type="decimal">
      <formula1>0</formula1>
      <formula2>1</formula2>
    </dataValidation>
    <dataValidation allowBlank="true" errorStyle="stop" operator="between" showDropDown="false" showErrorMessage="false" showInputMessage="false" sqref="P5:P14" type="list">
      <formula1>"Tự làm,Mua,Chờ,Không làm"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0"/>
    <col collapsed="false" customWidth="true" hidden="false" outlineLevel="0" max="3" min="3" style="1" width="34"/>
    <col collapsed="false" customWidth="true" hidden="false" outlineLevel="0" max="4" min="4" style="1" width="30"/>
    <col collapsed="false" customWidth="true" hidden="false" outlineLevel="0" max="5" min="5" style="1" width="44"/>
    <col collapsed="false" customWidth="true" hidden="false" outlineLevel="0" max="6" min="6" style="1" width="36"/>
    <col collapsed="false" customWidth="true" hidden="false" outlineLevel="0" max="8" min="7" style="1" width="12"/>
    <col collapsed="false" customWidth="true" hidden="false" outlineLevel="0" max="9" min="9" style="1" width="18"/>
    <col collapsed="false" customWidth="true" hidden="false" outlineLevel="0" max="10" min="10" style="1" width="14"/>
    <col collapsed="false" customWidth="true" hidden="false" outlineLevel="0" max="11" min="11" style="1" width="12"/>
    <col collapsed="false" customWidth="true" hidden="false" outlineLevel="0" max="12" min="12" style="1" width="13"/>
    <col collapsed="false" customWidth="true" hidden="false" outlineLevel="0" max="13" min="13" style="1" width="11"/>
  </cols>
  <sheetData>
    <row r="1" customFormat="false" ht="17.25" hidden="false" customHeight="true" outlineLevel="0" collapsed="false">
      <c r="A1" s="2" t="s">
        <v>57</v>
      </c>
    </row>
    <row r="2" customFormat="false" ht="15" hidden="false" customHeight="true" outlineLevel="0" collapsed="false">
      <c r="A2" s="3" t="s">
        <v>58</v>
      </c>
    </row>
    <row r="4" customFormat="false" ht="26.25" hidden="false" customHeight="true" outlineLevel="0" collapsed="false">
      <c r="A4" s="10" t="s">
        <v>59</v>
      </c>
      <c r="B4" s="10" t="s">
        <v>60</v>
      </c>
      <c r="C4" s="10" t="s">
        <v>61</v>
      </c>
      <c r="D4" s="10" t="s">
        <v>62</v>
      </c>
      <c r="E4" s="10" t="s">
        <v>63</v>
      </c>
      <c r="F4" s="10" t="s">
        <v>64</v>
      </c>
      <c r="G4" s="10" t="s">
        <v>65</v>
      </c>
      <c r="H4" s="10" t="s">
        <v>66</v>
      </c>
      <c r="I4" s="10" t="s">
        <v>67</v>
      </c>
      <c r="J4" s="10" t="s">
        <v>68</v>
      </c>
      <c r="K4" s="10" t="s">
        <v>69</v>
      </c>
      <c r="L4" s="10" t="s">
        <v>70</v>
      </c>
      <c r="M4" s="10" t="s">
        <v>71</v>
      </c>
    </row>
    <row r="5" customFormat="false" ht="48" hidden="false" customHeight="true" outlineLevel="0" collapsed="false">
      <c r="A5" s="11" t="n">
        <v>0</v>
      </c>
      <c r="B5" s="8" t="s">
        <v>72</v>
      </c>
      <c r="C5" s="8"/>
      <c r="D5" s="8"/>
      <c r="E5" s="8"/>
      <c r="F5" s="8"/>
      <c r="G5" s="8"/>
      <c r="H5" s="15"/>
      <c r="I5" s="14" t="s">
        <v>73</v>
      </c>
      <c r="J5" s="16" t="str">
        <f aca="false">IF(H5="","",$B$12+$B$13+IF(I5="Người của mình",H5*$B$14*$B$15/60,0))</f>
        <v/>
      </c>
      <c r="K5" s="17" t="str">
        <f aca="false">IF(J5="","",IFERROR(($B$16-$B$17*J5)/$B$16,""))</f>
        <v/>
      </c>
      <c r="L5" s="18" t="str">
        <f aca="false">IF(K5="","",IF(K5&gt;=0.6,"Đạt","Dưới ngưỡng"))</f>
        <v/>
      </c>
    </row>
    <row r="6" customFormat="false" ht="48" hidden="false" customHeight="true" outlineLevel="0" collapsed="false">
      <c r="A6" s="11" t="n">
        <v>1</v>
      </c>
      <c r="B6" s="8" t="s">
        <v>74</v>
      </c>
      <c r="C6" s="8"/>
      <c r="D6" s="8"/>
      <c r="E6" s="8"/>
      <c r="F6" s="8"/>
      <c r="G6" s="8"/>
      <c r="H6" s="15"/>
      <c r="I6" s="14" t="s">
        <v>73</v>
      </c>
      <c r="J6" s="16" t="str">
        <f aca="false">IF(H6="","",$B$12+$B$13+IF(I6="Người của mình",H6*$B$14*$B$15/60,0))</f>
        <v/>
      </c>
      <c r="K6" s="17" t="str">
        <f aca="false">IF(J6="","",IFERROR(($B$16-$B$17*J6)/$B$16,""))</f>
        <v/>
      </c>
      <c r="L6" s="18" t="str">
        <f aca="false">IF(K6="","",IF(K6&gt;=0.6,"Đạt","Dưới ngưỡng"))</f>
        <v/>
      </c>
      <c r="M6" s="18" t="str">
        <f aca="false">IF(E6="","",IF(SUMPRODUCT(--ISNUMBER(SEARCH({"0","1","2","3","4","5","6","7","8","9"},E6)))&gt;0,"Có","Thiếu"))</f>
        <v/>
      </c>
    </row>
    <row r="7" customFormat="false" ht="48" hidden="false" customHeight="true" outlineLevel="0" collapsed="false">
      <c r="A7" s="11" t="n">
        <v>2</v>
      </c>
      <c r="B7" s="8" t="s">
        <v>75</v>
      </c>
      <c r="C7" s="8"/>
      <c r="D7" s="8"/>
      <c r="E7" s="8"/>
      <c r="F7" s="8"/>
      <c r="G7" s="8"/>
      <c r="H7" s="15"/>
      <c r="I7" s="14" t="s">
        <v>73</v>
      </c>
      <c r="J7" s="16" t="str">
        <f aca="false">IF(H7="","",$B$12+$B$13+IF(I7="Người của mình",H7*$B$14*$B$15/60,0))</f>
        <v/>
      </c>
      <c r="K7" s="17" t="str">
        <f aca="false">IF(J7="","",IFERROR(($B$16-$B$17*J7)/$B$16,""))</f>
        <v/>
      </c>
      <c r="L7" s="18" t="str">
        <f aca="false">IF(K7="","",IF(K7&gt;=0.6,"Đạt","Dưới ngưỡng"))</f>
        <v/>
      </c>
      <c r="M7" s="18" t="str">
        <f aca="false">IF(E7="","",IF(SUMPRODUCT(--ISNUMBER(SEARCH({"0","1","2","3","4","5","6","7","8","9"},E7)))&gt;0,"Có","Thiếu"))</f>
        <v/>
      </c>
    </row>
    <row r="8" customFormat="false" ht="48" hidden="false" customHeight="true" outlineLevel="0" collapsed="false">
      <c r="A8" s="11" t="n">
        <v>3</v>
      </c>
      <c r="B8" s="8" t="s">
        <v>76</v>
      </c>
      <c r="C8" s="8"/>
      <c r="D8" s="8"/>
      <c r="E8" s="8"/>
      <c r="F8" s="8"/>
      <c r="G8" s="8"/>
      <c r="H8" s="15"/>
      <c r="I8" s="14" t="s">
        <v>73</v>
      </c>
      <c r="J8" s="16" t="str">
        <f aca="false">IF(H8="","",$B$12+$B$13+IF(I8="Người của mình",H8*$B$14*$B$15/60,0))</f>
        <v/>
      </c>
      <c r="K8" s="17" t="str">
        <f aca="false">IF(J8="","",IFERROR(($B$16-$B$17*J8)/$B$16,""))</f>
        <v/>
      </c>
      <c r="L8" s="18" t="str">
        <f aca="false">IF(K8="","",IF(K8&gt;=0.6,"Đạt","Dưới ngưỡng"))</f>
        <v/>
      </c>
      <c r="M8" s="18" t="str">
        <f aca="false">IF(E8="","",IF(SUMPRODUCT(--ISNUMBER(SEARCH({"0","1","2","3","4","5","6","7","8","9"},E8)))&gt;0,"Có","Thiếu"))</f>
        <v/>
      </c>
    </row>
    <row r="11" customFormat="false" ht="15" hidden="false" customHeight="true" outlineLevel="0" collapsed="false">
      <c r="A11" s="9" t="s">
        <v>77</v>
      </c>
    </row>
    <row r="12" customFormat="false" ht="15" hidden="false" customHeight="true" outlineLevel="0" collapsed="false">
      <c r="A12" s="19" t="s">
        <v>78</v>
      </c>
      <c r="B12" s="20" t="n">
        <v>769</v>
      </c>
      <c r="C12" s="21" t="s">
        <v>79</v>
      </c>
    </row>
    <row r="13" customFormat="false" ht="15" hidden="false" customHeight="true" outlineLevel="0" collapsed="false">
      <c r="A13" s="19" t="s">
        <v>80</v>
      </c>
      <c r="B13" s="20" t="n">
        <v>250</v>
      </c>
      <c r="C13" s="21" t="s">
        <v>81</v>
      </c>
    </row>
    <row r="14" customFormat="false" ht="15" hidden="false" customHeight="true" outlineLevel="0" collapsed="false">
      <c r="A14" s="19" t="s">
        <v>82</v>
      </c>
      <c r="B14" s="22" t="n">
        <v>3</v>
      </c>
      <c r="C14" s="21" t="s">
        <v>83</v>
      </c>
    </row>
    <row r="15" customFormat="false" ht="15" hidden="false" customHeight="true" outlineLevel="0" collapsed="false">
      <c r="A15" s="19" t="s">
        <v>84</v>
      </c>
      <c r="B15" s="20" t="n">
        <v>120000</v>
      </c>
      <c r="C15" s="21" t="s">
        <v>85</v>
      </c>
    </row>
    <row r="16" customFormat="false" ht="15" hidden="false" customHeight="true" outlineLevel="0" collapsed="false">
      <c r="A16" s="19" t="s">
        <v>86</v>
      </c>
      <c r="B16" s="20" t="n">
        <v>5210000</v>
      </c>
      <c r="C16" s="21" t="s">
        <v>87</v>
      </c>
    </row>
    <row r="17" customFormat="false" ht="15" hidden="false" customHeight="true" outlineLevel="0" collapsed="false">
      <c r="A17" s="19" t="s">
        <v>88</v>
      </c>
      <c r="B17" s="20" t="n">
        <v>1000</v>
      </c>
      <c r="C17" s="21" t="s">
        <v>89</v>
      </c>
    </row>
    <row r="18" customFormat="false" ht="15" hidden="false" customHeight="true" outlineLevel="0" collapsed="false">
      <c r="A18" s="19" t="s">
        <v>90</v>
      </c>
      <c r="B18" s="14" t="s">
        <v>91</v>
      </c>
      <c r="C18" s="21" t="s">
        <v>92</v>
      </c>
    </row>
    <row r="19" customFormat="false" ht="15" hidden="false" customHeight="true" outlineLevel="0" collapsed="false">
      <c r="A19" s="19" t="s">
        <v>93</v>
      </c>
      <c r="B19" s="14" t="s">
        <v>94</v>
      </c>
      <c r="C19" s="21" t="s">
        <v>95</v>
      </c>
    </row>
    <row r="20" customFormat="false" ht="15" hidden="false" customHeight="true" outlineLevel="0" collapsed="false">
      <c r="A20" s="19" t="s">
        <v>96</v>
      </c>
      <c r="B20" s="23" t="n">
        <v>17</v>
      </c>
      <c r="C20" s="21" t="s">
        <v>97</v>
      </c>
    </row>
    <row r="22" customFormat="false" ht="15" hidden="false" customHeight="true" outlineLevel="0" collapsed="false">
      <c r="A22" s="21" t="s">
        <v>98</v>
      </c>
    </row>
    <row r="23" customFormat="false" ht="15" hidden="false" customHeight="true" outlineLevel="0" collapsed="false">
      <c r="A23" s="21"/>
    </row>
  </sheetData>
  <sheetProtection sheet="true" formatColumns="false" formatRows="false"/>
  <dataValidations count="2">
    <dataValidation allowBlank="true" errorStyle="stop" operator="between" showDropDown="false" showErrorMessage="false" showInputMessage="false" sqref="I5:I8" type="list">
      <formula1>"Người của mình,Nhân viên cửa hàng"</formula1>
      <formula2>0</formula2>
    </dataValidation>
    <dataValidation allowBlank="true" errorStyle="stop" operator="between" showDropDown="false" showErrorMessage="false" showInputMessage="false" sqref="H5:H8"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42"/>
  </cols>
  <sheetData>
    <row r="1" customFormat="false" ht="17.25" hidden="false" customHeight="true" outlineLevel="0" collapsed="false">
      <c r="A1" s="2" t="s">
        <v>99</v>
      </c>
    </row>
    <row r="2" customFormat="false" ht="15" hidden="false" customHeight="true" outlineLevel="0" collapsed="false">
      <c r="A2" s="3" t="s">
        <v>100</v>
      </c>
    </row>
    <row r="4" customFormat="false" ht="15" hidden="false" customHeight="true" outlineLevel="0" collapsed="false">
      <c r="A4" s="10" t="s">
        <v>101</v>
      </c>
      <c r="B4" s="10" t="s">
        <v>102</v>
      </c>
      <c r="C4" s="10" t="s">
        <v>103</v>
      </c>
      <c r="D4" s="10" t="s">
        <v>104</v>
      </c>
    </row>
    <row r="5" customFormat="false" ht="48" hidden="false" customHeight="true" outlineLevel="0" collapsed="false">
      <c r="A5" s="24" t="s">
        <v>105</v>
      </c>
      <c r="B5" s="8"/>
      <c r="C5" s="8"/>
      <c r="D5" s="8"/>
    </row>
    <row r="6" customFormat="false" ht="48" hidden="false" customHeight="true" outlineLevel="0" collapsed="false">
      <c r="A6" s="24" t="s">
        <v>106</v>
      </c>
      <c r="B6" s="8"/>
      <c r="C6" s="8"/>
      <c r="D6" s="8"/>
    </row>
    <row r="7" customFormat="false" ht="48" hidden="false" customHeight="true" outlineLevel="0" collapsed="false">
      <c r="A7" s="24" t="s">
        <v>44</v>
      </c>
      <c r="B7" s="8"/>
      <c r="C7" s="8"/>
      <c r="D7" s="8"/>
    </row>
    <row r="8" customFormat="false" ht="48" hidden="false" customHeight="true" outlineLevel="0" collapsed="false">
      <c r="A8" s="24" t="s">
        <v>107</v>
      </c>
      <c r="B8" s="8"/>
      <c r="C8" s="8"/>
      <c r="D8" s="8"/>
    </row>
    <row r="9" customFormat="false" ht="48" hidden="false" customHeight="true" outlineLevel="0" collapsed="false">
      <c r="A9" s="24" t="s">
        <v>108</v>
      </c>
      <c r="B9" s="8"/>
      <c r="C9" s="8"/>
      <c r="D9" s="8"/>
    </row>
    <row r="10" customFormat="false" ht="48" hidden="false" customHeight="true" outlineLevel="0" collapsed="false">
      <c r="A10" s="24" t="s">
        <v>109</v>
      </c>
      <c r="B10" s="8"/>
      <c r="C10" s="8"/>
      <c r="D10" s="8"/>
    </row>
    <row r="11" customFormat="false" ht="48" hidden="false" customHeight="true" outlineLevel="0" collapsed="false">
      <c r="A11" s="24" t="s">
        <v>110</v>
      </c>
      <c r="B11" s="8"/>
      <c r="C11" s="8"/>
      <c r="D11" s="8"/>
    </row>
    <row r="12" customFormat="false" ht="48" hidden="false" customHeight="true" outlineLevel="0" collapsed="false">
      <c r="A12" s="24" t="s">
        <v>111</v>
      </c>
      <c r="B12" s="8"/>
      <c r="C12" s="8"/>
      <c r="D12" s="8"/>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40"/>
    <col collapsed="false" customWidth="true" hidden="false" outlineLevel="0" max="4" min="4" style="1" width="28"/>
  </cols>
  <sheetData>
    <row r="1" customFormat="false" ht="17.25" hidden="false" customHeight="true" outlineLevel="0" collapsed="false">
      <c r="A1" s="2" t="s">
        <v>112</v>
      </c>
    </row>
    <row r="2" customFormat="false" ht="15" hidden="false" customHeight="true" outlineLevel="0" collapsed="false">
      <c r="A2" s="3" t="s">
        <v>113</v>
      </c>
    </row>
    <row r="4" customFormat="false" ht="15" hidden="false" customHeight="true" outlineLevel="0" collapsed="false">
      <c r="A4" s="10" t="s">
        <v>114</v>
      </c>
      <c r="B4" s="10" t="s">
        <v>115</v>
      </c>
      <c r="C4" s="10" t="s">
        <v>116</v>
      </c>
      <c r="D4" s="10" t="s">
        <v>117</v>
      </c>
    </row>
    <row r="5" customFormat="false" ht="15" hidden="false" customHeight="true" outlineLevel="0" collapsed="false">
      <c r="A5" s="8" t="s">
        <v>118</v>
      </c>
      <c r="B5" s="8"/>
      <c r="C5" s="8"/>
      <c r="D5" s="8"/>
    </row>
    <row r="6" customFormat="false" ht="15" hidden="false" customHeight="true" outlineLevel="0" collapsed="false">
      <c r="A6" s="8" t="s">
        <v>119</v>
      </c>
      <c r="B6" s="8"/>
      <c r="C6" s="8"/>
      <c r="D6" s="8"/>
    </row>
    <row r="7" customFormat="false" ht="15" hidden="false" customHeight="true" outlineLevel="0" collapsed="false">
      <c r="A7" s="8" t="s">
        <v>120</v>
      </c>
      <c r="B7" s="8"/>
      <c r="C7" s="8"/>
      <c r="D7" s="8"/>
    </row>
    <row r="8" customFormat="false" ht="15" hidden="false" customHeight="true" outlineLevel="0" collapsed="false">
      <c r="A8" s="8" t="s">
        <v>121</v>
      </c>
      <c r="B8" s="8"/>
      <c r="C8" s="8"/>
      <c r="D8" s="8"/>
    </row>
    <row r="9" customFormat="false" ht="15" hidden="false" customHeight="true" outlineLevel="0" collapsed="false">
      <c r="A9" s="8" t="s">
        <v>122</v>
      </c>
      <c r="B9" s="8"/>
      <c r="C9" s="8"/>
      <c r="D9" s="8"/>
    </row>
    <row r="10" customFormat="false" ht="15" hidden="false" customHeight="true" outlineLevel="0" collapsed="false">
      <c r="A10" s="8" t="s">
        <v>123</v>
      </c>
      <c r="B10" s="8"/>
      <c r="C10" s="8"/>
      <c r="D10" s="8"/>
    </row>
    <row r="12" customFormat="false" ht="15" hidden="false" customHeight="true" outlineLevel="0" collapsed="false">
      <c r="A12" s="21" t="s">
        <v>124</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90"/>
    <col collapsed="false" customWidth="true" hidden="false" outlineLevel="0" max="3" min="3" style="1" width="8"/>
    <col collapsed="false" customWidth="true" hidden="false" outlineLevel="0" max="4" min="4" style="1" width="12"/>
  </cols>
  <sheetData>
    <row r="1" customFormat="false" ht="17.25" hidden="false" customHeight="true" outlineLevel="0" collapsed="false">
      <c r="A1" s="2" t="s">
        <v>125</v>
      </c>
    </row>
    <row r="2" customFormat="false" ht="15" hidden="false" customHeight="true" outlineLevel="0" collapsed="false">
      <c r="A2" s="3" t="s">
        <v>126</v>
      </c>
    </row>
    <row r="3" customFormat="false" ht="15" hidden="false" customHeight="true" outlineLevel="0" collapsed="false">
      <c r="C3" s="25" t="s">
        <v>127</v>
      </c>
      <c r="D3" s="25" t="s">
        <v>128</v>
      </c>
    </row>
    <row r="4" customFormat="false" ht="33.75" hidden="false" customHeight="true" outlineLevel="0" collapsed="false">
      <c r="A4" s="25" t="s">
        <v>129</v>
      </c>
      <c r="B4" s="8"/>
      <c r="C4" s="26" t="n">
        <f aca="false">IF(TRIM(B4)="",0,LEN(TRIM(B4))-LEN(SUBSTITUTE(TRIM(B4)," ",""))+1)</f>
        <v>0</v>
      </c>
      <c r="D4" s="18" t="str">
        <f aca="false">IF(C4=0,"Trống",IF(C4&gt;60,"Quá 60 chữ","Đạt"))</f>
        <v>Trống</v>
      </c>
    </row>
    <row r="5" customFormat="false" ht="33.75" hidden="false" customHeight="true" outlineLevel="0" collapsed="false">
      <c r="A5" s="25" t="s">
        <v>130</v>
      </c>
      <c r="B5" s="8"/>
      <c r="C5" s="26" t="n">
        <f aca="false">IF(TRIM(B5)="",0,LEN(TRIM(B5))-LEN(SUBSTITUTE(TRIM(B5)," ",""))+1)</f>
        <v>0</v>
      </c>
      <c r="D5" s="18" t="str">
        <f aca="false">IF(C5=0,"Trống",IF(C5&gt;60,"Quá 60 chữ","Đạt"))</f>
        <v>Trống</v>
      </c>
    </row>
    <row r="6" customFormat="false" ht="33.75" hidden="false" customHeight="true" outlineLevel="0" collapsed="false">
      <c r="A6" s="25" t="s">
        <v>131</v>
      </c>
      <c r="B6" s="8"/>
      <c r="C6" s="26" t="n">
        <f aca="false">IF(TRIM(B6)="",0,LEN(TRIM(B6))-LEN(SUBSTITUTE(TRIM(B6)," ",""))+1)</f>
        <v>0</v>
      </c>
      <c r="D6" s="18" t="str">
        <f aca="false">IF(C6=0,"Trống",IF(C6&gt;60,"Quá 60 chữ","Đạt"))</f>
        <v>Trống</v>
      </c>
    </row>
    <row r="7" customFormat="false" ht="33.75" hidden="false" customHeight="true" outlineLevel="0" collapsed="false">
      <c r="A7" s="25" t="s">
        <v>132</v>
      </c>
      <c r="B7" s="8"/>
      <c r="C7" s="26" t="n">
        <f aca="false">IF(TRIM(B7)="",0,LEN(TRIM(B7))-LEN(SUBSTITUTE(TRIM(B7)," ",""))+1)</f>
        <v>0</v>
      </c>
      <c r="D7" s="18" t="str">
        <f aca="false">IF(C7=0,"Trống",IF(C7&gt;60,"Quá 60 chữ","Đạt"))</f>
        <v>Trống</v>
      </c>
    </row>
    <row r="8" customFormat="false" ht="33.75" hidden="false" customHeight="true" outlineLevel="0" collapsed="false">
      <c r="A8" s="25" t="s">
        <v>133</v>
      </c>
      <c r="B8" s="8"/>
      <c r="C8" s="26" t="n">
        <f aca="false">IF(TRIM(B8)="",0,LEN(TRIM(B8))-LEN(SUBSTITUTE(TRIM(B8)," ",""))+1)</f>
        <v>0</v>
      </c>
      <c r="D8" s="18" t="str">
        <f aca="false">IF(C8=0,"Trống",IF(C8&gt;60,"Quá 60 chữ","Đạt"))</f>
        <v>Trống</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6"/>
    <col collapsed="false" customWidth="true" hidden="false" outlineLevel="0" max="3" min="2" style="1" width="14"/>
  </cols>
  <sheetData>
    <row r="1" customFormat="false" ht="17.25" hidden="false" customHeight="true" outlineLevel="0" collapsed="false">
      <c r="A1" s="2" t="s">
        <v>134</v>
      </c>
    </row>
    <row r="2" customFormat="false" ht="15" hidden="false" customHeight="true" outlineLevel="0" collapsed="false">
      <c r="A2" s="3" t="s">
        <v>135</v>
      </c>
    </row>
    <row r="4" customFormat="false" ht="15" hidden="false" customHeight="true" outlineLevel="0" collapsed="false">
      <c r="A4" s="10" t="s">
        <v>136</v>
      </c>
      <c r="B4" s="10" t="s">
        <v>137</v>
      </c>
      <c r="C4" s="10" t="s">
        <v>128</v>
      </c>
    </row>
    <row r="5" customFormat="false" ht="15" hidden="false" customHeight="true" outlineLevel="0" collapsed="false">
      <c r="A5" s="11" t="s">
        <v>138</v>
      </c>
      <c r="B5" s="12" t="n">
        <f aca="false">COUNT('1_Danh sách việc'!M5:M14)</f>
        <v>0</v>
      </c>
      <c r="C5" s="12" t="str">
        <f aca="false">IF(B5&gt;=5,"Đạt","Xem lại")</f>
        <v>Xem lại</v>
      </c>
    </row>
    <row r="6" customFormat="false" ht="15" hidden="false" customHeight="true" outlineLevel="0" collapsed="false">
      <c r="A6" s="11" t="s">
        <v>139</v>
      </c>
      <c r="B6" s="12" t="n">
        <f aca="false">COUNTIFS('1_Danh sách việc'!O5:O14,"Thiếu",'1_Danh sách việc'!P5:P14,"&lt;&gt;Không làm")</f>
        <v>0</v>
      </c>
      <c r="C6" s="12" t="str">
        <f aca="false">IF(B5=0,"",IF(B6=0,"Đạt","Xem lại"))</f>
        <v/>
      </c>
    </row>
    <row r="7" customFormat="false" ht="15" hidden="false" customHeight="true" outlineLevel="0" collapsed="false">
      <c r="A7" s="11" t="s">
        <v>140</v>
      </c>
      <c r="B7" s="12" t="n">
        <f aca="false">COUNTIF('2_Mức tự động'!M6:M8,"Có")</f>
        <v>0</v>
      </c>
      <c r="C7" s="12" t="str">
        <f aca="false">IF(B7&gt;=2,"Đạt","Xem lại")</f>
        <v>Xem lại</v>
      </c>
    </row>
    <row r="8" customFormat="false" ht="15" hidden="false" customHeight="true" outlineLevel="0" collapsed="false">
      <c r="A8" s="11" t="s">
        <v>141</v>
      </c>
      <c r="B8" s="12" t="n">
        <f aca="false">COUNTA('3_Bảng lộ trình'!B5:B12)</f>
        <v>0</v>
      </c>
      <c r="C8" s="12" t="str">
        <f aca="false">IF(B8=8,"Đạt","Xem lại")</f>
        <v>Xem lại</v>
      </c>
    </row>
    <row r="9" customFormat="false" ht="15" hidden="false" customHeight="true" outlineLevel="0" collapsed="false">
      <c r="A9" s="11" t="s">
        <v>142</v>
      </c>
      <c r="B9" s="12" t="str">
        <f aca="false">IF(AND(LEN('3_Bảng lộ trình'!B12)&gt;10,SUMPRODUCT(--ISNUMBER(SEARCH({"0","1","2","3","4","5","6","7","8","9"},'3_Bảng lộ trình'!B12)))&gt;0),"Có","Chưa")</f>
        <v>Chưa</v>
      </c>
      <c r="C9" s="12" t="str">
        <f aca="false">IF(B9="Có","Đạt","Xem lại")</f>
        <v>Xem lại</v>
      </c>
    </row>
    <row r="10" customFormat="false" ht="15" hidden="false" customHeight="true" outlineLevel="0" collapsed="false">
      <c r="A10" s="11" t="s">
        <v>143</v>
      </c>
      <c r="B10" s="12" t="str">
        <f aca="false">IF(AND(LEN('3_Bảng lộ trình'!B11)&gt;10,SUMPRODUCT(--ISNUMBER(SEARCH({"0","1","2","3","4","5","6","7","8","9"},'3_Bảng lộ trình'!B11)))&gt;0),"Có","Chưa")</f>
        <v>Chưa</v>
      </c>
      <c r="C10" s="12" t="str">
        <f aca="false">IF(B10="Có","Đạt","Xem lại")</f>
        <v>Xem lại</v>
      </c>
    </row>
    <row r="11" customFormat="false" ht="15" hidden="false" customHeight="true" outlineLevel="0" collapsed="false">
      <c r="A11" s="11" t="s">
        <v>144</v>
      </c>
      <c r="B11" s="12" t="n">
        <f aca="false">COUNTIF('5_Slide lãnh đạo'!D4:D8,"Đạt")</f>
        <v>0</v>
      </c>
      <c r="C11" s="12" t="str">
        <f aca="false">IF(B11=5,"Đạt","Xem lại")</f>
        <v>Xem lại</v>
      </c>
    </row>
    <row r="12" customFormat="false" ht="15" hidden="false" customHeight="true" outlineLevel="0" collapsed="false">
      <c r="A12" s="11" t="s">
        <v>145</v>
      </c>
      <c r="B12" s="12" t="n">
        <f aca="false">COUNTIF('2_Mức tự động'!L5:L8,"Đạt")</f>
        <v>0</v>
      </c>
      <c r="C12" s="12" t="str">
        <f aca="false">IF(B12&gt;=1,"Đạt","Xem lại")</f>
        <v>Xem lại</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30"/>
    <col collapsed="false" customWidth="true" hidden="false" outlineLevel="0" max="3" min="3" style="1" width="80"/>
    <col collapsed="false" customWidth="true" hidden="false" outlineLevel="0" max="4" min="4" style="1" width="40"/>
  </cols>
  <sheetData>
    <row r="1" customFormat="false" ht="17.25" hidden="false" customHeight="true" outlineLevel="0" collapsed="false">
      <c r="A1" s="2" t="s">
        <v>146</v>
      </c>
    </row>
    <row r="2" customFormat="false" ht="15" hidden="false" customHeight="true" outlineLevel="0" collapsed="false">
      <c r="A2" s="3"/>
    </row>
    <row r="4" customFormat="false" ht="15" hidden="false" customHeight="true" outlineLevel="0" collapsed="false">
      <c r="A4" s="10" t="s">
        <v>147</v>
      </c>
      <c r="B4" s="10" t="s">
        <v>148</v>
      </c>
      <c r="C4" s="10" t="s">
        <v>149</v>
      </c>
      <c r="D4" s="10" t="s">
        <v>150</v>
      </c>
    </row>
    <row r="5" customFormat="false" ht="15" hidden="false" customHeight="true" outlineLevel="0" collapsed="false">
      <c r="A5" s="11" t="s">
        <v>151</v>
      </c>
      <c r="B5" s="1" t="n">
        <v>20</v>
      </c>
      <c r="C5" s="27" t="s">
        <v>152</v>
      </c>
      <c r="D5" s="28"/>
    </row>
    <row r="6" customFormat="false" ht="15" hidden="false" customHeight="true" outlineLevel="0" collapsed="false">
      <c r="A6" s="11" t="s">
        <v>153</v>
      </c>
      <c r="B6" s="1" t="n">
        <v>20</v>
      </c>
      <c r="C6" s="27" t="s">
        <v>154</v>
      </c>
      <c r="D6" s="28"/>
    </row>
    <row r="7" customFormat="false" ht="15" hidden="false" customHeight="true" outlineLevel="0" collapsed="false">
      <c r="A7" s="11" t="s">
        <v>155</v>
      </c>
      <c r="B7" s="1" t="n">
        <v>25</v>
      </c>
      <c r="C7" s="27" t="s">
        <v>156</v>
      </c>
      <c r="D7" s="28"/>
    </row>
    <row r="8" customFormat="false" ht="15" hidden="false" customHeight="true" outlineLevel="0" collapsed="false">
      <c r="A8" s="11" t="s">
        <v>157</v>
      </c>
      <c r="B8" s="1" t="n">
        <v>15</v>
      </c>
      <c r="C8" s="27" t="s">
        <v>158</v>
      </c>
      <c r="D8" s="28"/>
    </row>
    <row r="9" customFormat="false" ht="15" hidden="false" customHeight="true" outlineLevel="0" collapsed="false">
      <c r="A9" s="11" t="s">
        <v>159</v>
      </c>
      <c r="B9" s="1" t="n">
        <v>20</v>
      </c>
      <c r="C9" s="27" t="s">
        <v>160</v>
      </c>
      <c r="D9" s="28"/>
    </row>
    <row r="10" customFormat="false" ht="15" hidden="false" customHeight="true" outlineLevel="0" collapsed="false">
      <c r="A10" s="9" t="s">
        <v>161</v>
      </c>
      <c r="B10" s="1" t="n">
        <f aca="false">SUM(B5:B9)</f>
        <v>100</v>
      </c>
      <c r="D10" s="12" t="n">
        <f aca="false">SUM(D5:D9)</f>
        <v>0</v>
      </c>
    </row>
    <row r="12" customFormat="false" ht="15" hidden="false" customHeight="true" outlineLevel="0" collapsed="false">
      <c r="A12" s="9"/>
      <c r="D12" s="28"/>
    </row>
    <row r="15" customFormat="false" ht="15" hidden="false" customHeight="true" outlineLevel="0" collapsed="false">
      <c r="A15" s="29" t="s">
        <v>162</v>
      </c>
    </row>
    <row r="16" customFormat="false" ht="15" hidden="false" customHeight="true" outlineLevel="0" collapsed="false">
      <c r="A16" s="10" t="s">
        <v>147</v>
      </c>
      <c r="B16" s="10" t="s">
        <v>163</v>
      </c>
      <c r="C16" s="10" t="s">
        <v>164</v>
      </c>
      <c r="D16" s="10" t="s">
        <v>165</v>
      </c>
    </row>
    <row r="17" customFormat="false" ht="45.75" hidden="false" customHeight="true" outlineLevel="0" collapsed="false">
      <c r="A17" s="30" t="s">
        <v>166</v>
      </c>
      <c r="B17" s="31" t="s">
        <v>167</v>
      </c>
      <c r="C17" s="31" t="s">
        <v>168</v>
      </c>
      <c r="D17" s="31" t="s">
        <v>169</v>
      </c>
    </row>
    <row r="18" customFormat="false" ht="45.75" hidden="false" customHeight="true" outlineLevel="0" collapsed="false">
      <c r="A18" s="30" t="s">
        <v>170</v>
      </c>
      <c r="B18" s="31" t="s">
        <v>171</v>
      </c>
      <c r="C18" s="31" t="s">
        <v>172</v>
      </c>
      <c r="D18" s="31" t="s">
        <v>173</v>
      </c>
    </row>
    <row r="19" customFormat="false" ht="45.75" hidden="false" customHeight="true" outlineLevel="0" collapsed="false">
      <c r="A19" s="30" t="s">
        <v>174</v>
      </c>
      <c r="B19" s="31" t="s">
        <v>175</v>
      </c>
      <c r="C19" s="31" t="s">
        <v>176</v>
      </c>
      <c r="D19" s="31" t="s">
        <v>177</v>
      </c>
    </row>
    <row r="20" customFormat="false" ht="45.75" hidden="false" customHeight="true" outlineLevel="0" collapsed="false">
      <c r="A20" s="30" t="s">
        <v>178</v>
      </c>
      <c r="B20" s="31" t="s">
        <v>179</v>
      </c>
      <c r="C20" s="31" t="s">
        <v>180</v>
      </c>
      <c r="D20" s="31" t="s">
        <v>181</v>
      </c>
    </row>
    <row r="22" customFormat="false" ht="15" hidden="false" customHeight="true" outlineLevel="0" collapsed="false">
      <c r="A22" s="21" t="s">
        <v>182</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2026-10-04T05:24:07Z</dcterms:created>
  <dc:creator>openpyxl</dc:creator>
  <dc:description/>
  <dc:language>en-US</dc:language>
  <cp:lastModifiedBy/>
  <dcterms:modified xsi:type="dcterms:W3CDTF">2026-10-14T15:39:15Z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