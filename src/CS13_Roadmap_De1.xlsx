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<sst xmlns="http://schemas.openxmlformats.org/spreadsheetml/2006/main" count="189" uniqueCount="183">
  <si>
    <t xml:space="preserve">CS13 · Lộ trình sản phẩm AI — File thực hành · Đề 1 · SổSạch</t>
  </si>
  <si>
    <t xml:space="preserve">AI in Action · Track 1 · Khóa 4. FILE LÀM BÀI CỦA NHÓM · Đề 1 · SổSạch.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</si>
  <si>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</si>
  <si>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</si>
  <si>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1.</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</si>
  <si>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</si>
  <si>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</si>
  <si>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</si>
  <si>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</si>
  <si>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</si>
  <si>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</si>
  <si>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1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</si>
  <si>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</si>
  <si>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</si>
  <si>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</si>
  <si>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</si>
  <si>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</si>
  <si>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</si>
  <si>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</si>
  <si>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</si>
  <si>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</si>
  <si>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</si>
  <si>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</si>
  <si>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</si>
  <si>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</si>
  <si>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</si>
  <si>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</si>
  <si>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</si>
  <si>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</si>
  <si>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</si>
  <si>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</si>
  <si>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</si>
  <si>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</si>
  <si>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</si>
  <si>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</si>
  <si>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</si>
  <si>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</si>
  <si>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</si>
  <si>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</si>
  <si>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</si>
  <si>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</si>
  <si>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</si>
  <si>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</si>
  <si>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</si>
  <si>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</si>
  <si>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</si>
  <si>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</si>
  <si>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</si>
  <si>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</si>
  <si>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</si>
  <si>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</si>
  <si>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</si>
  <si>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</si>
  <si>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</si>
  <si>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</si>
  <si>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</si>
  <si>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</si>
  <si>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</si>
  <si>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</si>
  <si>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</si>
  <si>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</si>
  <si>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</si>
  <si>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</si>
  <si>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</si>
  <si>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</si>
  <si>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</si>
  <si>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</si>
  <si>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</si>
  <si>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</si>
  <si>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</si>
  <si>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</si>
  <si>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</si>
  <si>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</si>
  <si>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Người của mình</t>
  </si>
  <si>
    <t xml:space="preserve">Hỗ trợ có duyệt</t>
  </si>
  <si>
    <t xml:space="preserve">Tự động một phần</t>
  </si>
  <si>
    <t xml:space="preserve">Tự động có giám sát</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</si>
  <si>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</si>
  <si>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</si>
  <si>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</si>
  <si>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</si>
  <si>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</si>
  <si>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</si>
  <si>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</si>
  <si>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</si>
  <si>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</si>
  <si>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</si>
  <si>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</si>
  <si>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</si>
  <si>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</si>
  <si>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</si>
  <si>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Doanh thu bình quân (65% doanh thu đến từ 30% văn phòng dùng nhiều)</t>
  </si>
  <si>
    <t xml:space="preserve">dòng 7</t>
  </si>
  <si>
    <t xml:space="preserve">Điều kiện dừng đã chọn (theo đề)</t>
  </si>
  <si>
    <t xml:space="preserve">NẾU doanh thu bình quân dưới 3,71 triệu/văn phòng trong 2 tháng liên tiếp, trên ít nhất 10 văn phòng, THÌ dừng mở rộng</t>
  </si>
  <si>
    <t xml:space="preserve">dòng 8</t>
  </si>
  <si>
    <t xml:space="preserve">Kịch bản xấu hết tiền ở tháng</t>
  </si>
  <si>
    <t xml:space="preserve">dòng 9</t>
  </si>
  <si>
    <t xml:space="preserve">Ghi chú: người duyệt của mình là kế toán viên của công ty. Gợi ý của đề: Mức 1 duyệt khoảng 20%; Mức 2 khoảng 10%.</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</si>
  <si>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</si>
  <si>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</si>
  <si>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</si>
  <si>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</si>
  <si>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</si>
  <si>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</si>
  <si>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</si>
  <si>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Giả thuyết</t>
  </si>
  <si>
    <t xml:space="preserve">Mức tự động (trang 2)</t>
  </si>
  <si>
    <t xml:space="preserve">Cổng đánh giá</t>
  </si>
  <si>
    <t xml:space="preserve">Điều kiện cần: dữ liệu / hạ tầng / tuân thủ</t>
  </si>
  <si>
    <t xml:space="preserve">Căn cứ kinh tế (số liệu của đề và trang 2)</t>
  </si>
  <si>
    <t xml:space="preserve">Điều kiện dừng / đổi hướng</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</si>
  <si>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</si>
  <si>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</si>
  <si>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</si>
  <si>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</si>
  <si>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</si>
  <si>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</si>
  <si>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</si>
  <si>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Ngày 60</t>
  </si>
  <si>
    <t xml:space="preserve">Ngày 90</t>
  </si>
  <si>
    <t xml:space="preserve">Có mô hình mới / giá gọi AI giảm mạnh</t>
  </si>
  <si>
    <t xml:space="preserve">Nền tảng hoặc đối thủ ra tính năng tương tự</t>
  </si>
  <si>
    <t xml:space="preserve">Quy định pháp lý thay đổi</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</si>
  <si>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</si>
  <si>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</si>
  <si>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</si>
  <si>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</si>
  <si>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</si>
  <si>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</si>
  <si>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3 việc chính</t>
  </si>
  <si>
    <t xml:space="preserve">Cần gì (người, tiền, dữ liệu)</t>
  </si>
  <si>
    <t xml:space="preserve">Rủi ro lớn nhất &amp; cách xử lý</t>
  </si>
  <si>
    <t xml:space="preserve">Khi nào xem lại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</si>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</sst>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33.75" hidden="false" customHeight="true" outlineLevel="0" collapsed="false">
      <c r="A5" s="7" t="s">
        <v>18</v>
      </c>
      <c r="B5" s="8"/>
      <c r="C5" s="7" t="s">
        <v>19</v>
      </c>
      <c r="D5" s="7" t="s">
        <v>20</v>
      </c>
      <c r="E5" s="8"/>
    </row>
    <row r="6" customFormat="false" ht="33.75" hidden="false" customHeight="true" outlineLevel="0" collapsed="false">
      <c r="A6" s="7" t="s">
        <v>21</v>
      </c>
      <c r="B6" s="8"/>
      <c r="C6" s="7" t="s">
        <v>22</v>
      </c>
      <c r="D6" s="7" t="s">
        <v>23</v>
      </c>
      <c r="E6" s="8"/>
    </row>
    <row r="7" customFormat="false" ht="33.75" hidden="false" customHeight="true" outlineLevel="0" collapsed="false">
      <c r="A7" s="7" t="s">
        <v>24</v>
      </c>
      <c r="B7" s="8"/>
      <c r="C7" s="7" t="s">
        <v>25</v>
      </c>
      <c r="D7" s="7" t="s">
        <v>26</v>
      </c>
      <c r="E7" s="8"/>
    </row>
    <row r="8" customFormat="false" ht="33.75" hidden="false" customHeight="true" outlineLevel="0" collapsed="false">
      <c r="A8" s="7" t="s">
        <v>27</v>
      </c>
      <c r="B8" s="8"/>
      <c r="C8" s="7" t="s">
        <v>28</v>
      </c>
      <c r="D8" s="7" t="s">
        <v>29</v>
      </c>
      <c r="E8" s="8"/>
    </row>
    <row r="9" customFormat="false" ht="33.75" hidden="false" customHeight="true" outlineLevel="0" collapsed="false">
      <c r="A9" s="7" t="s">
        <v>30</v>
      </c>
      <c r="B9" s="8"/>
      <c r="C9" s="7" t="s">
        <v>31</v>
      </c>
      <c r="D9" s="7" t="s">
        <v>32</v>
      </c>
      <c r="E9" s="8"/>
    </row>
    <row r="10" customFormat="false" ht="33.75" hidden="false" customHeight="true" outlineLevel="0" collapsed="false">
      <c r="A10" s="7" t="s">
        <v>33</v>
      </c>
      <c r="B10" s="8"/>
      <c r="C10" s="7" t="s">
        <v>34</v>
      </c>
      <c r="D10" s="7" t="s">
        <v>35</v>
      </c>
      <c r="E10" s="8"/>
    </row>
    <row r="12" customFormat="false" ht="15" hidden="false" customHeight="true" outlineLevel="0" collapsed="false">
      <c r="A12" s="9" t="s">
        <v>36</v>
      </c>
      <c r="B12" s="5" t="n">
        <f aca="false">COUNTIF(B5:B10,"Có")</f>
        <v>0</v>
      </c>
    </row>
    <row r="13" customFormat="false" ht="15" hidden="false" customHeight="true" outlineLevel="0" collapsed="false">
      <c r="A13" s="3" t="s">
        <v>37</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38</v>
      </c>
    </row>
    <row r="2" customFormat="false" ht="15" hidden="false" customHeight="true" outlineLevel="0" collapsed="false">
      <c r="A2" s="3" t="s">
        <v>39</v>
      </c>
    </row>
    <row r="4" customFormat="false" ht="39" hidden="false" customHeight="true" outlineLevel="0" collapsed="false">
      <c r="A4" s="10" t="s">
        <v>40</v>
      </c>
      <c r="B4" s="10" t="s">
        <v>41</v>
      </c>
      <c r="C4" s="10" t="s">
        <v>42</v>
      </c>
      <c r="D4" s="10" t="s">
        <v>43</v>
      </c>
      <c r="E4" s="10" t="s">
        <v>44</v>
      </c>
      <c r="F4" s="10" t="s">
        <v>45</v>
      </c>
      <c r="G4" s="10" t="s">
        <v>46</v>
      </c>
      <c r="H4" s="10" t="s">
        <v>47</v>
      </c>
      <c r="I4" s="10" t="s">
        <v>48</v>
      </c>
      <c r="J4" s="10" t="s">
        <v>49</v>
      </c>
      <c r="K4" s="10" t="s">
        <v>50</v>
      </c>
      <c r="L4" s="10" t="s">
        <v>51</v>
      </c>
      <c r="M4" s="10" t="s">
        <v>52</v>
      </c>
      <c r="N4" s="10" t="s">
        <v>53</v>
      </c>
      <c r="O4" s="10" t="s">
        <v>54</v>
      </c>
      <c r="P4" s="10" t="s">
        <v>55</v>
      </c>
      <c r="Q4" s="10" t="s">
        <v>56</v>
      </c>
    </row>
    <row r="5" customFormat="false" ht="34.5" hidden="false" customHeight="true" outlineLevel="0" collapsed="false">
      <c r="A5" s="11" t="n">
        <v>1</v>
      </c>
      <c r="B5" s="8"/>
      <c r="C5" s="8"/>
      <c r="D5" s="8"/>
      <c r="E5" s="8"/>
      <c r="F5" s="8"/>
      <c r="G5" s="8"/>
      <c r="H5" s="8"/>
      <c r="I5" s="8"/>
      <c r="J5" s="8"/>
      <c r="K5" s="8"/>
      <c r="L5" s="8"/>
      <c r="M5" s="12" t="str">
        <f aca="false">IF(COUNT(F5:L5)&lt;7,"",ROUND(F5*G5*H5/I5*(0.5+0.5*AVERAGE(J5:K5))*(1-0.5*L5),2))</f>
        <v/>
      </c>
      <c r="N5" s="12" t="str">
        <f aca="false">IF(M5="","",RANK(M5,$M$5:$M$14))</f>
        <v/>
      </c>
      <c r="O5" s="13" t="str">
        <f aca="false">IF(B5="","",IF(OR(D5="",E5=""),"Thiếu",IF(SUMPRODUCT(--ISNUMBER(SEARCH({"0","1","2","3","4","5","6","7","8","9"},E5)))&gt;0,"Có","Thiếu")))</f>
        <v/>
      </c>
      <c r="P5" s="14"/>
      <c r="Q5" s="14"/>
    </row>
    <row r="6" customFormat="false" ht="23.25" hidden="false" customHeight="true" outlineLevel="0" collapsed="false">
      <c r="A6" s="11" t="n">
        <v>2</v>
      </c>
      <c r="B6" s="8"/>
      <c r="C6" s="8"/>
      <c r="D6" s="8"/>
      <c r="E6" s="8"/>
      <c r="F6" s="8"/>
      <c r="G6" s="8"/>
      <c r="H6" s="8"/>
      <c r="I6" s="8"/>
      <c r="J6" s="8"/>
      <c r="K6" s="8"/>
      <c r="L6" s="8"/>
      <c r="M6" s="12" t="str">
        <f aca="false">IF(COUNT(F6:L6)&lt;7,"",ROUND(F6*G6*H6/I6*(0.5+0.5*AVERAGE(J6:K6))*(1-0.5*L6),2))</f>
        <v/>
      </c>
      <c r="N6" s="12" t="str">
        <f aca="false">IF(M6="","",RANK(M6,$M$5:$M$14))</f>
        <v/>
      </c>
      <c r="O6" s="13" t="str">
        <f aca="false">IF(B6="","",IF(OR(D6="",E6=""),"Thiếu",IF(SUMPRODUCT(--ISNUMBER(SEARCH({"0","1","2","3","4","5","6","7","8","9"},E6)))&gt;0,"Có","Thiếu")))</f>
        <v/>
      </c>
      <c r="P6" s="14"/>
      <c r="Q6" s="14"/>
    </row>
    <row r="7" customFormat="false" ht="23.25" hidden="false" customHeight="true" outlineLevel="0" collapsed="false">
      <c r="A7" s="11" t="n">
        <v>3</v>
      </c>
      <c r="B7" s="8"/>
      <c r="C7" s="8"/>
      <c r="D7" s="8"/>
      <c r="E7" s="8"/>
      <c r="F7" s="8"/>
      <c r="G7" s="8"/>
      <c r="H7" s="8"/>
      <c r="I7" s="8"/>
      <c r="J7" s="8"/>
      <c r="K7" s="8"/>
      <c r="L7" s="8"/>
      <c r="M7" s="12" t="str">
        <f aca="false">IF(COUNT(F7:L7)&lt;7,"",ROUND(F7*G7*H7/I7*(0.5+0.5*AVERAGE(J7:K7))*(1-0.5*L7),2))</f>
        <v/>
      </c>
      <c r="N7" s="12" t="str">
        <f aca="false">IF(M7="","",RANK(M7,$M$5:$M$14))</f>
        <v/>
      </c>
      <c r="O7" s="13" t="str">
        <f aca="false">IF(B7="","",IF(OR(D7="",E7=""),"Thiếu",IF(SUMPRODUCT(--ISNUMBER(SEARCH({"0","1","2","3","4","5","6","7","8","9"},E7)))&gt;0,"Có","Thiếu")))</f>
        <v/>
      </c>
      <c r="P7" s="14"/>
      <c r="Q7" s="14"/>
    </row>
    <row r="8" customFormat="false" ht="23.25" hidden="false" customHeight="true" outlineLevel="0" collapsed="false">
      <c r="A8" s="11" t="n">
        <v>4</v>
      </c>
      <c r="B8" s="8"/>
      <c r="C8" s="8"/>
      <c r="D8" s="8"/>
      <c r="E8" s="8"/>
      <c r="F8" s="8"/>
      <c r="G8" s="8"/>
      <c r="H8" s="8"/>
      <c r="I8" s="8"/>
      <c r="J8" s="8"/>
      <c r="K8" s="8"/>
      <c r="L8" s="8"/>
      <c r="M8" s="12" t="str">
        <f aca="false">IF(COUNT(F8:L8)&lt;7,"",ROUND(F8*G8*H8/I8*(0.5+0.5*AVERAGE(J8:K8))*(1-0.5*L8),2))</f>
        <v/>
      </c>
      <c r="N8" s="12" t="str">
        <f aca="false">IF(M8="","",RANK(M8,$M$5:$M$14))</f>
        <v/>
      </c>
      <c r="O8" s="13" t="str">
        <f aca="false">IF(B8="","",IF(OR(D8="",E8=""),"Thiếu",IF(SUMPRODUCT(--ISNUMBER(SEARCH({"0","1","2","3","4","5","6","7","8","9"},E8)))&gt;0,"Có","Thiếu")))</f>
        <v/>
      </c>
      <c r="P8" s="14"/>
      <c r="Q8" s="14"/>
    </row>
    <row r="9" customFormat="false" ht="23.25" hidden="false" customHeight="true" outlineLevel="0" collapsed="false">
      <c r="A9" s="11" t="n">
        <v>5</v>
      </c>
      <c r="B9" s="8"/>
      <c r="C9" s="8"/>
      <c r="D9" s="8"/>
      <c r="E9" s="8"/>
      <c r="F9" s="8"/>
      <c r="G9" s="8"/>
      <c r="H9" s="8"/>
      <c r="I9" s="8"/>
      <c r="J9" s="8"/>
      <c r="K9" s="8"/>
      <c r="L9" s="8"/>
      <c r="M9" s="12" t="str">
        <f aca="false">IF(COUNT(F9:L9)&lt;7,"",ROUND(F9*G9*H9/I9*(0.5+0.5*AVERAGE(J9:K9))*(1-0.5*L9),2))</f>
        <v/>
      </c>
      <c r="N9" s="12" t="str">
        <f aca="false">IF(M9="","",RANK(M9,$M$5:$M$14))</f>
        <v/>
      </c>
      <c r="O9" s="13" t="str">
        <f aca="false">IF(B9="","",IF(OR(D9="",E9=""),"Thiếu",IF(SUMPRODUCT(--ISNUMBER(SEARCH({"0","1","2","3","4","5","6","7","8","9"},E9)))&gt;0,"Có","Thiếu")))</f>
        <v/>
      </c>
      <c r="P9" s="14"/>
      <c r="Q9" s="14"/>
    </row>
    <row r="10" customFormat="false" ht="23.25" hidden="false" customHeight="true" outlineLevel="0" collapsed="false">
      <c r="A10" s="11" t="n">
        <v>6</v>
      </c>
      <c r="B10" s="8"/>
      <c r="C10" s="8"/>
      <c r="D10" s="8"/>
      <c r="E10" s="8"/>
      <c r="F10" s="8"/>
      <c r="G10" s="8"/>
      <c r="H10" s="8"/>
      <c r="I10" s="8"/>
      <c r="J10" s="8"/>
      <c r="K10" s="8"/>
      <c r="L10" s="8"/>
      <c r="M10" s="12" t="str">
        <f aca="false">IF(COUNT(F10:L10)&lt;7,"",ROUND(F10*G10*H10/I10*(0.5+0.5*AVERAGE(J10:K10))*(1-0.5*L10),2))</f>
        <v/>
      </c>
      <c r="N10" s="12" t="str">
        <f aca="false">IF(M10="","",RANK(M10,$M$5:$M$14))</f>
        <v/>
      </c>
      <c r="O10" s="13" t="str">
        <f aca="false">IF(B10="","",IF(OR(D10="",E10=""),"Thiếu",IF(SUMPRODUCT(--ISNUMBER(SEARCH({"0","1","2","3","4","5","6","7","8","9"},E10)))&gt;0,"Có","Thiếu")))</f>
        <v/>
      </c>
      <c r="P10" s="14"/>
      <c r="Q10" s="14"/>
    </row>
    <row r="11" customFormat="false" ht="15" hidden="false" customHeight="true" outlineLevel="0" collapsed="false">
      <c r="A11" s="11" t="n">
        <v>7</v>
      </c>
      <c r="B11" s="8"/>
      <c r="C11" s="8"/>
      <c r="D11" s="8"/>
      <c r="E11" s="8"/>
      <c r="F11" s="8"/>
      <c r="G11" s="8"/>
      <c r="H11" s="8"/>
      <c r="I11" s="8"/>
      <c r="J11" s="8"/>
      <c r="K11" s="8"/>
      <c r="L11" s="8"/>
      <c r="M11" s="12" t="str">
        <f aca="false">IF(COUNT(F11:L11)&lt;7,"",ROUND(F11*G11*H11/I11*(0.5+0.5*AVERAGE(J11:K11))*(1-0.5*L11),2))</f>
        <v/>
      </c>
      <c r="N11" s="12" t="str">
        <f aca="false">IF(M11="","",RANK(M11,$M$5:$M$14))</f>
        <v/>
      </c>
      <c r="O11" s="13" t="str">
        <f aca="false">IF(B11="","",IF(OR(D11="",E11=""),"Thiếu",IF(SUMPRODUCT(--ISNUMBER(SEARCH({"0","1","2","3","4","5","6","7","8","9"},E11)))&gt;0,"Có","Thiếu")))</f>
        <v/>
      </c>
      <c r="P11" s="14"/>
      <c r="Q11" s="14"/>
    </row>
    <row r="12" customFormat="false" ht="15" hidden="false" customHeight="true" outlineLevel="0" collapsed="false">
      <c r="A12" s="11" t="n">
        <v>8</v>
      </c>
      <c r="B12" s="8"/>
      <c r="C12" s="8"/>
      <c r="D12" s="8"/>
      <c r="E12" s="8"/>
      <c r="F12" s="8"/>
      <c r="G12" s="8"/>
      <c r="H12" s="8"/>
      <c r="I12" s="8"/>
      <c r="J12" s="8"/>
      <c r="K12" s="8"/>
      <c r="L12" s="8"/>
      <c r="M12" s="12" t="str">
        <f aca="false">IF(COUNT(F12:L12)&lt;7,"",ROUND(F12*G12*H12/I12*(0.5+0.5*AVERAGE(J12:K12))*(1-0.5*L12),2))</f>
        <v/>
      </c>
      <c r="N12" s="12" t="str">
        <f aca="false">IF(M12="","",RANK(M12,$M$5:$M$14))</f>
        <v/>
      </c>
      <c r="O12" s="13" t="str">
        <f aca="false">IF(B12="","",IF(OR(D12="",E12=""),"Thiếu",IF(SUMPRODUCT(--ISNUMBER(SEARCH({"0","1","2","3","4","5","6","7","8","9"},E12)))&gt;0,"Có","Thiếu")))</f>
        <v/>
      </c>
      <c r="P12" s="14"/>
      <c r="Q12" s="14"/>
    </row>
    <row r="13" customFormat="false" ht="15" hidden="false" customHeight="true" outlineLevel="0" collapsed="false">
      <c r="A13" s="11" t="n">
        <v>9</v>
      </c>
      <c r="B13" s="8"/>
      <c r="C13" s="8"/>
      <c r="D13" s="8"/>
      <c r="E13" s="8"/>
      <c r="F13" s="8"/>
      <c r="G13" s="8"/>
      <c r="H13" s="8"/>
      <c r="I13" s="8"/>
      <c r="J13" s="8"/>
      <c r="K13" s="8"/>
      <c r="L13" s="8"/>
      <c r="M13" s="12" t="str">
        <f aca="false">IF(COUNT(F13:L13)&lt;7,"",ROUND(F13*G13*H13/I13*(0.5+0.5*AVERAGE(J13:K13))*(1-0.5*L13),2))</f>
        <v/>
      </c>
      <c r="N13" s="12" t="str">
        <f aca="false">IF(M13="","",RANK(M13,$M$5:$M$14))</f>
        <v/>
      </c>
      <c r="O13" s="13" t="str">
        <f aca="false">IF(B13="","",IF(OR(D13="",E13=""),"Thiếu",IF(SUMPRODUCT(--ISNUMBER(SEARCH({"0","1","2","3","4","5","6","7","8","9"},E13)))&gt;0,"Có","Thiếu")))</f>
        <v/>
      </c>
      <c r="P13" s="14"/>
      <c r="Q13" s="14"/>
    </row>
    <row r="14" customFormat="false" ht="15" hidden="false" customHeight="true" outlineLevel="0" collapsed="false">
      <c r="A14" s="11" t="n">
        <v>10</v>
      </c>
      <c r="B14" s="8"/>
      <c r="C14" s="8"/>
      <c r="D14" s="8"/>
      <c r="E14" s="8"/>
      <c r="F14" s="8"/>
      <c r="G14" s="8"/>
      <c r="H14" s="8"/>
      <c r="I14" s="8"/>
      <c r="J14" s="8"/>
      <c r="K14" s="8"/>
      <c r="L14" s="8"/>
      <c r="M14" s="12" t="str">
        <f aca="false">IF(COUNT(F14:L14)&lt;7,"",ROUND(F14*G14*H14/I14*(0.5+0.5*AVERAGE(J14:K14))*(1-0.5*L14),2))</f>
        <v/>
      </c>
      <c r="N14" s="12" t="str">
        <f aca="false">IF(M14="","",RANK(M14,$M$5:$M$14))</f>
        <v/>
      </c>
      <c r="O14" s="13" t="str">
        <f aca="false">IF(B14="","",IF(OR(D14="",E14=""),"Thiếu",IF(SUMPRODUCT(--ISNUMBER(SEARCH({"0","1","2","3","4","5","6","7","8","9"},E14)))&gt;0,"Có","Thiếu")))</f>
        <v/>
      </c>
      <c r="P14" s="14"/>
      <c r="Q14" s="14"/>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57</v>
      </c>
    </row>
    <row r="2" customFormat="false" ht="15" hidden="false" customHeight="true" outlineLevel="0" collapsed="false">
      <c r="A2" s="3" t="s">
        <v>58</v>
      </c>
    </row>
    <row r="4" customFormat="false" ht="26.25" hidden="false" customHeight="true" outlineLevel="0" collapsed="false">
      <c r="A4" s="10" t="s">
        <v>59</v>
      </c>
      <c r="B4" s="10" t="s">
        <v>60</v>
      </c>
      <c r="C4" s="10" t="s">
        <v>61</v>
      </c>
      <c r="D4" s="10" t="s">
        <v>62</v>
      </c>
      <c r="E4" s="10" t="s">
        <v>63</v>
      </c>
      <c r="F4" s="10" t="s">
        <v>64</v>
      </c>
      <c r="G4" s="10" t="s">
        <v>65</v>
      </c>
      <c r="H4" s="10" t="s">
        <v>66</v>
      </c>
      <c r="I4" s="10" t="s">
        <v>67</v>
      </c>
      <c r="J4" s="10" t="s">
        <v>68</v>
      </c>
      <c r="K4" s="10" t="s">
        <v>69</v>
      </c>
      <c r="L4" s="10" t="s">
        <v>70</v>
      </c>
      <c r="M4" s="10" t="s">
        <v>71</v>
      </c>
    </row>
    <row r="5" customFormat="false" ht="48" hidden="false" customHeight="true" outlineLevel="0" collapsed="false">
      <c r="A5" s="11" t="n">
        <v>0</v>
      </c>
      <c r="B5" s="8" t="s">
        <v>72</v>
      </c>
      <c r="C5" s="8"/>
      <c r="D5" s="8"/>
      <c r="E5" s="8"/>
      <c r="F5" s="8"/>
      <c r="G5" s="8"/>
      <c r="H5" s="15"/>
      <c r="I5" s="14" t="s">
        <v>73</v>
      </c>
      <c r="J5" s="16" t="str">
        <f aca="false">IF(H5="","",$B$12+$B$13+IF(I5="Người của mình",H5*$B$14*$B$15/60,0))</f>
        <v/>
      </c>
      <c r="K5" s="17" t="str">
        <f aca="false">IF(J5="","",IFERROR(($B$16-$B$17*J5)/$B$16,""))</f>
        <v/>
      </c>
      <c r="L5" s="18" t="str">
        <f aca="false">IF(K5="","",IF(K5&gt;=0.6,"Đạt","Dưới ngưỡng"))</f>
        <v/>
      </c>
    </row>
    <row r="6" customFormat="false" ht="48" hidden="false" customHeight="true" outlineLevel="0" collapsed="false">
      <c r="A6" s="11" t="n">
        <v>1</v>
      </c>
      <c r="B6" s="8" t="s">
        <v>74</v>
      </c>
      <c r="C6" s="8"/>
      <c r="D6" s="8"/>
      <c r="E6" s="8"/>
      <c r="F6" s="8"/>
      <c r="G6" s="8"/>
      <c r="H6" s="15"/>
      <c r="I6" s="14" t="s">
        <v>73</v>
      </c>
      <c r="J6" s="16" t="str">
        <f aca="false">IF(H6="","",$B$12+$B$13+IF(I6="Người của mình",H6*$B$14*$B$15/60,0))</f>
        <v/>
      </c>
      <c r="K6" s="17" t="str">
        <f aca="false">IF(J6="","",IFERROR(($B$16-$B$17*J6)/$B$16,""))</f>
        <v/>
      </c>
      <c r="L6" s="18" t="str">
        <f aca="false">IF(K6="","",IF(K6&gt;=0.6,"Đạt","Dưới ngưỡng"))</f>
        <v/>
      </c>
      <c r="M6" s="18" t="str">
        <f aca="false">IF(E6="","",IF(SUMPRODUCT(--ISNUMBER(SEARCH({"0","1","2","3","4","5","6","7","8","9"},E6)))&gt;0,"Có","Thiếu"))</f>
        <v/>
      </c>
    </row>
    <row r="7" customFormat="false" ht="48" hidden="false" customHeight="true" outlineLevel="0" collapsed="false">
      <c r="A7" s="11" t="n">
        <v>2</v>
      </c>
      <c r="B7" s="8" t="s">
        <v>75</v>
      </c>
      <c r="C7" s="8"/>
      <c r="D7" s="8"/>
      <c r="E7" s="8"/>
      <c r="F7" s="8"/>
      <c r="G7" s="8"/>
      <c r="H7" s="15"/>
      <c r="I7" s="14" t="s">
        <v>73</v>
      </c>
      <c r="J7" s="16" t="str">
        <f aca="false">IF(H7="","",$B$12+$B$13+IF(I7="Người của mình",H7*$B$14*$B$15/60,0))</f>
        <v/>
      </c>
      <c r="K7" s="17" t="str">
        <f aca="false">IF(J7="","",IFERROR(($B$16-$B$17*J7)/$B$16,""))</f>
        <v/>
      </c>
      <c r="L7" s="18" t="str">
        <f aca="false">IF(K7="","",IF(K7&gt;=0.6,"Đạt","Dưới ngưỡng"))</f>
        <v/>
      </c>
      <c r="M7" s="18" t="str">
        <f aca="false">IF(E7="","",IF(SUMPRODUCT(--ISNUMBER(SEARCH({"0","1","2","3","4","5","6","7","8","9"},E7)))&gt;0,"Có","Thiếu"))</f>
        <v/>
      </c>
    </row>
    <row r="8" customFormat="false" ht="48" hidden="false" customHeight="true" outlineLevel="0" collapsed="false">
      <c r="A8" s="11" t="n">
        <v>3</v>
      </c>
      <c r="B8" s="8" t="s">
        <v>76</v>
      </c>
      <c r="C8" s="8"/>
      <c r="D8" s="8"/>
      <c r="E8" s="8"/>
      <c r="F8" s="8"/>
      <c r="G8" s="8"/>
      <c r="H8" s="15"/>
      <c r="I8" s="14" t="s">
        <v>73</v>
      </c>
      <c r="J8" s="16" t="str">
        <f aca="false">IF(H8="","",$B$12+$B$13+IF(I8="Người của mình",H8*$B$14*$B$15/60,0))</f>
        <v/>
      </c>
      <c r="K8" s="17" t="str">
        <f aca="false">IF(J8="","",IFERROR(($B$16-$B$17*J8)/$B$16,""))</f>
        <v/>
      </c>
      <c r="L8" s="18" t="str">
        <f aca="false">IF(K8="","",IF(K8&gt;=0.6,"Đạt","Dưới ngưỡng"))</f>
        <v/>
      </c>
      <c r="M8" s="18" t="str">
        <f aca="false">IF(E8="","",IF(SUMPRODUCT(--ISNUMBER(SEARCH({"0","1","2","3","4","5","6","7","8","9"},E8)))&gt;0,"Có","Thiếu"))</f>
        <v/>
      </c>
    </row>
    <row r="11" customFormat="false" ht="15" hidden="false" customHeight="true" outlineLevel="0" collapsed="false">
      <c r="A11" s="9" t="s">
        <v>77</v>
      </c>
    </row>
    <row r="12" customFormat="false" ht="15" hidden="false" customHeight="true" outlineLevel="0" collapsed="false">
      <c r="A12" s="19" t="s">
        <v>78</v>
      </c>
      <c r="B12" s="20" t="n">
        <v>254</v>
      </c>
      <c r="C12" s="21" t="s">
        <v>79</v>
      </c>
    </row>
    <row r="13" customFormat="false" ht="15" hidden="false" customHeight="true" outlineLevel="0" collapsed="false">
      <c r="A13" s="19" t="s">
        <v>80</v>
      </c>
      <c r="B13" s="20" t="n">
        <v>200</v>
      </c>
      <c r="C13" s="21" t="s">
        <v>81</v>
      </c>
    </row>
    <row r="14" customFormat="false" ht="15" hidden="false" customHeight="true" outlineLevel="0" collapsed="false">
      <c r="A14" s="19" t="s">
        <v>82</v>
      </c>
      <c r="B14" s="22" t="n">
        <v>1.5</v>
      </c>
      <c r="C14" s="21" t="s">
        <v>83</v>
      </c>
    </row>
    <row r="15" customFormat="false" ht="15" hidden="false" customHeight="true" outlineLevel="0" collapsed="false">
      <c r="A15" s="19" t="s">
        <v>84</v>
      </c>
      <c r="B15" s="20" t="n">
        <v>50000</v>
      </c>
      <c r="C15" s="21" t="s">
        <v>85</v>
      </c>
    </row>
    <row r="16" customFormat="false" ht="15" hidden="false" customHeight="true" outlineLevel="0" collapsed="false">
      <c r="A16" s="19" t="s">
        <v>86</v>
      </c>
      <c r="B16" s="20" t="n">
        <v>3970000</v>
      </c>
      <c r="C16" s="21" t="s">
        <v>87</v>
      </c>
    </row>
    <row r="17" customFormat="false" ht="15" hidden="false" customHeight="true" outlineLevel="0" collapsed="false">
      <c r="A17" s="19" t="s">
        <v>88</v>
      </c>
      <c r="B17" s="20" t="n">
        <v>1760</v>
      </c>
      <c r="C17" s="21" t="s">
        <v>89</v>
      </c>
    </row>
    <row r="18" customFormat="false" ht="15" hidden="false" customHeight="true" outlineLevel="0" collapsed="false">
      <c r="A18" s="19" t="s">
        <v>90</v>
      </c>
      <c r="B18" s="14" t="s">
        <v>91</v>
      </c>
      <c r="C18" s="21" t="s">
        <v>92</v>
      </c>
    </row>
    <row r="19" customFormat="false" ht="15" hidden="false" customHeight="true" outlineLevel="0" collapsed="false">
      <c r="A19" s="19" t="s">
        <v>93</v>
      </c>
      <c r="B19" s="14" t="s">
        <v>94</v>
      </c>
      <c r="C19" s="21" t="s">
        <v>95</v>
      </c>
    </row>
    <row r="20" customFormat="false" ht="15" hidden="false" customHeight="true" outlineLevel="0" collapsed="false">
      <c r="A20" s="19" t="s">
        <v>96</v>
      </c>
      <c r="B20" s="23" t="n">
        <v>7</v>
      </c>
      <c r="C20" s="21" t="s">
        <v>97</v>
      </c>
    </row>
    <row r="22" customFormat="false" ht="15" hidden="false" customHeight="true" outlineLevel="0" collapsed="false">
      <c r="A22" s="21" t="s">
        <v>98</v>
      </c>
    </row>
    <row r="23" customFormat="false" ht="15" hidden="false" customHeight="true" outlineLevel="0" collapsed="false">
      <c r="A23" s="21"/>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99</v>
      </c>
    </row>
    <row r="2" customFormat="false" ht="15" hidden="false" customHeight="true" outlineLevel="0" collapsed="false">
      <c r="A2" s="3" t="s">
        <v>100</v>
      </c>
    </row>
    <row r="4" customFormat="false" ht="15" hidden="false" customHeight="true" outlineLevel="0" collapsed="false">
      <c r="A4" s="10" t="s">
        <v>101</v>
      </c>
      <c r="B4" s="10" t="s">
        <v>102</v>
      </c>
      <c r="C4" s="10" t="s">
        <v>103</v>
      </c>
      <c r="D4" s="10" t="s">
        <v>104</v>
      </c>
    </row>
    <row r="5" customFormat="false" ht="48" hidden="false" customHeight="true" outlineLevel="0" collapsed="false">
      <c r="A5" s="24" t="s">
        <v>105</v>
      </c>
      <c r="B5" s="8"/>
      <c r="C5" s="8"/>
      <c r="D5" s="8"/>
    </row>
    <row r="6" customFormat="false" ht="48" hidden="false" customHeight="true" outlineLevel="0" collapsed="false">
      <c r="A6" s="24" t="s">
        <v>106</v>
      </c>
      <c r="B6" s="8"/>
      <c r="C6" s="8"/>
      <c r="D6" s="8"/>
    </row>
    <row r="7" customFormat="false" ht="48" hidden="false" customHeight="true" outlineLevel="0" collapsed="false">
      <c r="A7" s="24" t="s">
        <v>44</v>
      </c>
      <c r="B7" s="8"/>
      <c r="C7" s="8"/>
      <c r="D7" s="8"/>
    </row>
    <row r="8" customFormat="false" ht="48" hidden="false" customHeight="true" outlineLevel="0" collapsed="false">
      <c r="A8" s="24" t="s">
        <v>107</v>
      </c>
      <c r="B8" s="8"/>
      <c r="C8" s="8"/>
      <c r="D8" s="8"/>
    </row>
    <row r="9" customFormat="false" ht="48" hidden="false" customHeight="true" outlineLevel="0" collapsed="false">
      <c r="A9" s="24" t="s">
        <v>108</v>
      </c>
      <c r="B9" s="8"/>
      <c r="C9" s="8"/>
      <c r="D9" s="8"/>
    </row>
    <row r="10" customFormat="false" ht="48" hidden="false" customHeight="true" outlineLevel="0" collapsed="false">
      <c r="A10" s="24" t="s">
        <v>109</v>
      </c>
      <c r="B10" s="8"/>
      <c r="C10" s="8"/>
      <c r="D10" s="8"/>
    </row>
    <row r="11" customFormat="false" ht="48" hidden="false" customHeight="true" outlineLevel="0" collapsed="false">
      <c r="A11" s="24" t="s">
        <v>110</v>
      </c>
      <c r="B11" s="8"/>
      <c r="C11" s="8"/>
      <c r="D11" s="8"/>
    </row>
    <row r="12" customFormat="false" ht="48" hidden="false" customHeight="true" outlineLevel="0" collapsed="false">
      <c r="A12" s="24" t="s">
        <v>111</v>
      </c>
      <c r="B12" s="8"/>
      <c r="C12" s="8"/>
      <c r="D12" s="8"/>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112</v>
      </c>
    </row>
    <row r="2" customFormat="false" ht="15" hidden="false" customHeight="true" outlineLevel="0" collapsed="false">
      <c r="A2" s="3" t="s">
        <v>113</v>
      </c>
    </row>
    <row r="4" customFormat="false" ht="15" hidden="false" customHeight="true" outlineLevel="0" collapsed="false">
      <c r="A4" s="10" t="s">
        <v>114</v>
      </c>
      <c r="B4" s="10" t="s">
        <v>115</v>
      </c>
      <c r="C4" s="10" t="s">
        <v>116</v>
      </c>
      <c r="D4" s="10" t="s">
        <v>117</v>
      </c>
    </row>
    <row r="5" customFormat="false" ht="15" hidden="false" customHeight="true" outlineLevel="0" collapsed="false">
      <c r="A5" s="8" t="s">
        <v>118</v>
      </c>
      <c r="B5" s="8"/>
      <c r="C5" s="8"/>
      <c r="D5" s="8"/>
    </row>
    <row r="6" customFormat="false" ht="15" hidden="false" customHeight="true" outlineLevel="0" collapsed="false">
      <c r="A6" s="8" t="s">
        <v>119</v>
      </c>
      <c r="B6" s="8"/>
      <c r="C6" s="8"/>
      <c r="D6" s="8"/>
    </row>
    <row r="7" customFormat="false" ht="15" hidden="false" customHeight="true" outlineLevel="0" collapsed="false">
      <c r="A7" s="8" t="s">
        <v>120</v>
      </c>
      <c r="B7" s="8"/>
      <c r="C7" s="8"/>
      <c r="D7" s="8"/>
    </row>
    <row r="8" customFormat="false" ht="15" hidden="false" customHeight="true" outlineLevel="0" collapsed="false">
      <c r="A8" s="8" t="s">
        <v>121</v>
      </c>
      <c r="B8" s="8"/>
      <c r="C8" s="8"/>
      <c r="D8" s="8"/>
    </row>
    <row r="9" customFormat="false" ht="15" hidden="false" customHeight="true" outlineLevel="0" collapsed="false">
      <c r="A9" s="8" t="s">
        <v>122</v>
      </c>
      <c r="B9" s="8"/>
      <c r="C9" s="8"/>
      <c r="D9" s="8"/>
    </row>
    <row r="10" customFormat="false" ht="15" hidden="false" customHeight="true" outlineLevel="0" collapsed="false">
      <c r="A10" s="8" t="s">
        <v>123</v>
      </c>
      <c r="B10" s="8"/>
      <c r="C10" s="8"/>
      <c r="D10" s="8"/>
    </row>
    <row r="12" customFormat="false" ht="15" hidden="false" customHeight="true" outlineLevel="0" collapsed="false">
      <c r="A12" s="21" t="s">
        <v>124</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125</v>
      </c>
    </row>
    <row r="2" customFormat="false" ht="15" hidden="false" customHeight="true" outlineLevel="0" collapsed="false">
      <c r="A2" s="3" t="s">
        <v>126</v>
      </c>
    </row>
    <row r="3" customFormat="false" ht="15" hidden="false" customHeight="true" outlineLevel="0" collapsed="false">
      <c r="C3" s="25" t="s">
        <v>127</v>
      </c>
      <c r="D3" s="25" t="s">
        <v>128</v>
      </c>
    </row>
    <row r="4" customFormat="false" ht="33.75" hidden="false" customHeight="true" outlineLevel="0" collapsed="false">
      <c r="A4" s="25" t="s">
        <v>129</v>
      </c>
      <c r="B4" s="8"/>
      <c r="C4" s="26" t="n">
        <f aca="false">IF(TRIM(B4)="",0,LEN(TRIM(B4))-LEN(SUBSTITUTE(TRIM(B4)," ",""))+1)</f>
        <v>0</v>
      </c>
      <c r="D4" s="18" t="str">
        <f aca="false">IF(C4=0,"Trống",IF(C4&gt;60,"Quá 60 chữ","Đạt"))</f>
        <v>Trống</v>
      </c>
    </row>
    <row r="5" customFormat="false" ht="33.75" hidden="false" customHeight="true" outlineLevel="0" collapsed="false">
      <c r="A5" s="25" t="s">
        <v>130</v>
      </c>
      <c r="B5" s="8"/>
      <c r="C5" s="26" t="n">
        <f aca="false">IF(TRIM(B5)="",0,LEN(TRIM(B5))-LEN(SUBSTITUTE(TRIM(B5)," ",""))+1)</f>
        <v>0</v>
      </c>
      <c r="D5" s="18" t="str">
        <f aca="false">IF(C5=0,"Trống",IF(C5&gt;60,"Quá 60 chữ","Đạt"))</f>
        <v>Trống</v>
      </c>
    </row>
    <row r="6" customFormat="false" ht="33.75" hidden="false" customHeight="true" outlineLevel="0" collapsed="false">
      <c r="A6" s="25" t="s">
        <v>131</v>
      </c>
      <c r="B6" s="8"/>
      <c r="C6" s="26" t="n">
        <f aca="false">IF(TRIM(B6)="",0,LEN(TRIM(B6))-LEN(SUBSTITUTE(TRIM(B6)," ",""))+1)</f>
        <v>0</v>
      </c>
      <c r="D6" s="18" t="str">
        <f aca="false">IF(C6=0,"Trống",IF(C6&gt;60,"Quá 60 chữ","Đạt"))</f>
        <v>Trống</v>
      </c>
    </row>
    <row r="7" customFormat="false" ht="33.75" hidden="false" customHeight="true" outlineLevel="0" collapsed="false">
      <c r="A7" s="25" t="s">
        <v>132</v>
      </c>
      <c r="B7" s="8"/>
      <c r="C7" s="26" t="n">
        <f aca="false">IF(TRIM(B7)="",0,LEN(TRIM(B7))-LEN(SUBSTITUTE(TRIM(B7)," ",""))+1)</f>
        <v>0</v>
      </c>
      <c r="D7" s="18" t="str">
        <f aca="false">IF(C7=0,"Trống",IF(C7&gt;60,"Quá 60 chữ","Đạt"))</f>
        <v>Trống</v>
      </c>
    </row>
    <row r="8" customFormat="false" ht="33.75" hidden="false" customHeight="true" outlineLevel="0" collapsed="false">
      <c r="A8" s="25" t="s">
        <v>133</v>
      </c>
      <c r="B8" s="8"/>
      <c r="C8" s="26" t="n">
        <f aca="false">IF(TRIM(B8)="",0,LEN(TRIM(B8))-LEN(SUBSTITUTE(TRIM(B8)," ",""))+1)</f>
        <v>0</v>
      </c>
      <c r="D8" s="18" t="str">
        <f aca="false">IF(C8=0,"Trống",IF(C8&gt;60,"Quá 60 chữ","Đạt"))</f>
        <v>Trống</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134</v>
      </c>
    </row>
    <row r="2" customFormat="false" ht="15" hidden="false" customHeight="true" outlineLevel="0" collapsed="false">
      <c r="A2" s="3" t="s">
        <v>135</v>
      </c>
    </row>
    <row r="4" customFormat="false" ht="15" hidden="false" customHeight="true" outlineLevel="0" collapsed="false">
      <c r="A4" s="10" t="s">
        <v>136</v>
      </c>
      <c r="B4" s="10" t="s">
        <v>137</v>
      </c>
      <c r="C4" s="10" t="s">
        <v>128</v>
      </c>
    </row>
    <row r="5" customFormat="false" ht="15" hidden="false" customHeight="true" outlineLevel="0" collapsed="false">
      <c r="A5" s="11" t="s">
        <v>138</v>
      </c>
      <c r="B5" s="12" t="n">
        <f aca="false">COUNT('1_Danh sách việc'!M5:M14)</f>
        <v>0</v>
      </c>
      <c r="C5" s="12" t="str">
        <f aca="false">IF(B5&gt;=5,"Đạt","Xem lại")</f>
        <v>Xem lại</v>
      </c>
    </row>
    <row r="6" customFormat="false" ht="15" hidden="false" customHeight="true" outlineLevel="0" collapsed="false">
      <c r="A6" s="11" t="s">
        <v>139</v>
      </c>
      <c r="B6" s="12" t="n">
        <f aca="false">COUNTIFS('1_Danh sách việc'!O5:O14,"Thiếu",'1_Danh sách việc'!P5:P14,"&lt;&gt;Không làm")</f>
        <v>0</v>
      </c>
      <c r="C6" s="12" t="str">
        <f aca="false">IF(B5=0,"",IF(B6=0,"Đạt","Xem lại"))</f>
        <v/>
      </c>
    </row>
    <row r="7" customFormat="false" ht="15" hidden="false" customHeight="true" outlineLevel="0" collapsed="false">
      <c r="A7" s="11" t="s">
        <v>140</v>
      </c>
      <c r="B7" s="12" t="n">
        <f aca="false">COUNTIF('2_Mức tự động'!M6:M8,"Có")</f>
        <v>0</v>
      </c>
      <c r="C7" s="12" t="str">
        <f aca="false">IF(B7&gt;=2,"Đạt","Xem lại")</f>
        <v>Xem lại</v>
      </c>
    </row>
    <row r="8" customFormat="false" ht="15" hidden="false" customHeight="true" outlineLevel="0" collapsed="false">
      <c r="A8" s="11" t="s">
        <v>141</v>
      </c>
      <c r="B8" s="12" t="n">
        <f aca="false">COUNTA('3_Bảng lộ trình'!B5:B12)</f>
        <v>0</v>
      </c>
      <c r="C8" s="12" t="str">
        <f aca="false">IF(B8=8,"Đạt","Xem lại")</f>
        <v>Xem lại</v>
      </c>
    </row>
    <row r="9" customFormat="false" ht="15" hidden="false" customHeight="true" outlineLevel="0" collapsed="false">
      <c r="A9" s="11" t="s">
        <v>142</v>
      </c>
      <c r="B9" s="12" t="str">
        <f aca="false">IF(AND(LEN('3_Bảng lộ trình'!B12)&gt;10,SUMPRODUCT(--ISNUMBER(SEARCH({"0","1","2","3","4","5","6","7","8","9"},'3_Bảng lộ trình'!B12)))&gt;0),"Có","Chưa")</f>
        <v>Chưa</v>
      </c>
      <c r="C9" s="12" t="str">
        <f aca="false">IF(B9="Có","Đạt","Xem lại")</f>
        <v>Xem lại</v>
      </c>
    </row>
    <row r="10" customFormat="false" ht="15" hidden="false" customHeight="true" outlineLevel="0" collapsed="false">
      <c r="A10" s="11" t="s">
        <v>143</v>
      </c>
      <c r="B10" s="12" t="str">
        <f aca="false">IF(AND(LEN('3_Bảng lộ trình'!B11)&gt;10,SUMPRODUCT(--ISNUMBER(SEARCH({"0","1","2","3","4","5","6","7","8","9"},'3_Bảng lộ trình'!B11)))&gt;0),"Có","Chưa")</f>
        <v>Chưa</v>
      </c>
      <c r="C10" s="12" t="str">
        <f aca="false">IF(B10="Có","Đạt","Xem lại")</f>
        <v>Xem lại</v>
      </c>
    </row>
    <row r="11" customFormat="false" ht="15" hidden="false" customHeight="true" outlineLevel="0" collapsed="false">
      <c r="A11" s="11" t="s">
        <v>144</v>
      </c>
      <c r="B11" s="12" t="n">
        <f aca="false">COUNTIF('5_Slide lãnh đạo'!D4:D8,"Đạt")</f>
        <v>0</v>
      </c>
      <c r="C11" s="12" t="str">
        <f aca="false">IF(B11=5,"Đạt","Xem lại")</f>
        <v>Xem lại</v>
      </c>
    </row>
    <row r="12" customFormat="false" ht="15" hidden="false" customHeight="true" outlineLevel="0" collapsed="false">
      <c r="A12" s="11" t="s">
        <v>145</v>
      </c>
      <c r="B12" s="12" t="n">
        <f aca="false">COUNTIF('2_Mức tự động'!L5:L8,"Đạt")</f>
        <v>0</v>
      </c>
      <c r="C12" s="12" t="str">
        <f aca="false">IF(B12&gt;=1,"Đạt","Xem lại")</f>
        <v>Xem lại</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146</v>
      </c>
    </row>
    <row r="2" customFormat="false" ht="15" hidden="false" customHeight="true" outlineLevel="0" collapsed="false">
      <c r="A2" s="3"/>
    </row>
    <row r="4" customFormat="false" ht="15" hidden="false" customHeight="true" outlineLevel="0" collapsed="false">
      <c r="A4" s="10" t="s">
        <v>147</v>
      </c>
      <c r="B4" s="10" t="s">
        <v>148</v>
      </c>
      <c r="C4" s="10" t="s">
        <v>149</v>
      </c>
      <c r="D4" s="10" t="s">
        <v>150</v>
      </c>
    </row>
    <row r="5" customFormat="false" ht="15" hidden="false" customHeight="true" outlineLevel="0" collapsed="false">
      <c r="A5" s="11" t="s">
        <v>151</v>
      </c>
      <c r="B5" s="1" t="n">
        <v>20</v>
      </c>
      <c r="C5" s="27" t="s">
        <v>152</v>
      </c>
      <c r="D5" s="28"/>
    </row>
    <row r="6" customFormat="false" ht="15" hidden="false" customHeight="true" outlineLevel="0" collapsed="false">
      <c r="A6" s="11" t="s">
        <v>153</v>
      </c>
      <c r="B6" s="1" t="n">
        <v>20</v>
      </c>
      <c r="C6" s="27" t="s">
        <v>154</v>
      </c>
      <c r="D6" s="28"/>
    </row>
    <row r="7" customFormat="false" ht="15" hidden="false" customHeight="true" outlineLevel="0" collapsed="false">
      <c r="A7" s="11" t="s">
        <v>155</v>
      </c>
      <c r="B7" s="1" t="n">
        <v>25</v>
      </c>
      <c r="C7" s="27" t="s">
        <v>156</v>
      </c>
      <c r="D7" s="28"/>
    </row>
    <row r="8" customFormat="false" ht="15" hidden="false" customHeight="true" outlineLevel="0" collapsed="false">
      <c r="A8" s="11" t="s">
        <v>157</v>
      </c>
      <c r="B8" s="1" t="n">
        <v>15</v>
      </c>
      <c r="C8" s="27" t="s">
        <v>158</v>
      </c>
      <c r="D8" s="28"/>
    </row>
    <row r="9" customFormat="false" ht="15" hidden="false" customHeight="true" outlineLevel="0" collapsed="false">
      <c r="A9" s="11" t="s">
        <v>159</v>
      </c>
      <c r="B9" s="1" t="n">
        <v>20</v>
      </c>
      <c r="C9" s="27" t="s">
        <v>160</v>
      </c>
      <c r="D9" s="28"/>
    </row>
    <row r="10" customFormat="false" ht="15" hidden="false" customHeight="true" outlineLevel="0" collapsed="false">
      <c r="A10" s="9" t="s">
        <v>161</v>
      </c>
      <c r="B10" s="1" t="n">
        <f aca="false">SUM(B5:B9)</f>
        <v>100</v>
      </c>
      <c r="D10" s="12" t="n">
        <f aca="false">SUM(D5:D9)</f>
        <v>0</v>
      </c>
    </row>
    <row r="12" customFormat="false" ht="15" hidden="false" customHeight="true" outlineLevel="0" collapsed="false">
      <c r="A12" s="9"/>
      <c r="D12" s="28"/>
    </row>
    <row r="15" customFormat="false" ht="15" hidden="false" customHeight="true" outlineLevel="0" collapsed="false">
      <c r="A15" s="29" t="s">
        <v>162</v>
      </c>
    </row>
    <row r="16" customFormat="false" ht="15" hidden="false" customHeight="true" outlineLevel="0" collapsed="false">
      <c r="A16" s="10" t="s">
        <v>147</v>
      </c>
      <c r="B16" s="10" t="s">
        <v>163</v>
      </c>
      <c r="C16" s="10" t="s">
        <v>164</v>
      </c>
      <c r="D16" s="10" t="s">
        <v>165</v>
      </c>
    </row>
    <row r="17" customFormat="false" ht="45.75" hidden="false" customHeight="true" outlineLevel="0" collapsed="false">
      <c r="A17" s="30" t="s">
        <v>166</v>
      </c>
      <c r="B17" s="31" t="s">
        <v>167</v>
      </c>
      <c r="C17" s="31" t="s">
        <v>168</v>
      </c>
      <c r="D17" s="31" t="s">
        <v>169</v>
      </c>
    </row>
    <row r="18" customFormat="false" ht="45.75" hidden="false" customHeight="true" outlineLevel="0" collapsed="false">
      <c r="A18" s="30" t="s">
        <v>170</v>
      </c>
      <c r="B18" s="31" t="s">
        <v>171</v>
      </c>
      <c r="C18" s="31" t="s">
        <v>172</v>
      </c>
      <c r="D18" s="31" t="s">
        <v>173</v>
      </c>
    </row>
    <row r="19" customFormat="false" ht="45.75" hidden="false" customHeight="true" outlineLevel="0" collapsed="false">
      <c r="A19" s="30" t="s">
        <v>174</v>
      </c>
      <c r="B19" s="31" t="s">
        <v>175</v>
      </c>
      <c r="C19" s="31" t="s">
        <v>176</v>
      </c>
      <c r="D19" s="31" t="s">
        <v>177</v>
      </c>
    </row>
    <row r="20" customFormat="false" ht="45.75" hidden="false" customHeight="true" outlineLevel="0" collapsed="false">
      <c r="A20" s="30" t="s">
        <v>178</v>
      </c>
      <c r="B20" s="31" t="s">
        <v>179</v>
      </c>
      <c r="C20" s="31" t="s">
        <v>180</v>
      </c>
      <c r="D20" s="31" t="s">
        <v>181</v>
      </c>
    </row>
    <row r="22" customFormat="false" ht="15" hidden="false" customHeight="true" outlineLevel="0" collapsed="false">
      <c r="A22" s="21" t="s">
        <v>182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